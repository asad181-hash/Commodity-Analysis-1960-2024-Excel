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slicers/slicer8.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D:\NextBridge\Excel\Commodities Data\Project Files\"/>
    </mc:Choice>
  </mc:AlternateContent>
  <xr:revisionPtr revIDLastSave="0" documentId="13_ncr:1_{44CB4B9A-B64D-4F79-913E-2C783D518612}" xr6:coauthVersionLast="47" xr6:coauthVersionMax="47" xr10:uidLastSave="{00000000-0000-0000-0000-000000000000}"/>
  <bookViews>
    <workbookView xWindow="-108" yWindow="-108" windowWidth="23256" windowHeight="12456" activeTab="3" xr2:uid="{E23CD372-E6C5-45D6-9D27-E9187A9B8AB6}"/>
  </bookViews>
  <sheets>
    <sheet name="Dashboard - Executive Overview" sheetId="26" r:id="rId1"/>
    <sheet name="Price Performance" sheetId="36" r:id="rId2"/>
    <sheet name="Trend &amp; Risk Analysis" sheetId="40" r:id="rId3"/>
    <sheet name="Management Insights" sheetId="45" r:id="rId4"/>
    <sheet name="Streak Calculations-3rd Page" sheetId="42" state="hidden" r:id="rId5"/>
    <sheet name="Measures-3rd Page" sheetId="41" state="hidden" r:id="rId6"/>
    <sheet name="Risk level table - 3rd page" sheetId="43" state="hidden" r:id="rId7"/>
    <sheet name="change % vs range %-2nd p" sheetId="38" state="hidden" r:id="rId8"/>
    <sheet name="OHLC Trend-Price Performance" sheetId="37" state="hidden" r:id="rId9"/>
    <sheet name="Commodities Market Analysis Rep" sheetId="30" r:id="rId10"/>
    <sheet name="Growth Trend" sheetId="35" state="hidden" r:id="rId11"/>
    <sheet name="Measures" sheetId="33" state="hidden" r:id="rId12"/>
    <sheet name="Price Trend" sheetId="32" state="hidden" r:id="rId13"/>
    <sheet name="Growth &amp; Decline %" sheetId="34" state="hidden" r:id="rId14"/>
    <sheet name="All_Commodities" sheetId="28" state="hidden" r:id="rId15"/>
    <sheet name="Copper_Prices" sheetId="11" state="hidden" r:id="rId16"/>
    <sheet name="Wheat_Prices" sheetId="10" state="hidden" r:id="rId17"/>
    <sheet name="Corn_Prices" sheetId="9" state="hidden" r:id="rId18"/>
    <sheet name="Sugar_Prices" sheetId="8" state="hidden" r:id="rId19"/>
    <sheet name="Soybean_Oil_Prices" sheetId="7" state="hidden" r:id="rId20"/>
    <sheet name="Soybean_Prices" sheetId="6" state="hidden" r:id="rId21"/>
    <sheet name="Oats_Prices" sheetId="5" state="hidden" r:id="rId22"/>
    <sheet name="Cotton_Prices" sheetId="4" state="hidden" r:id="rId23"/>
    <sheet name="Lumber_Prices" sheetId="3" state="hidden" r:id="rId24"/>
    <sheet name="Coffee_Prices" sheetId="2" state="hidden" r:id="rId25"/>
    <sheet name="DimYear" sheetId="14" state="hidden" r:id="rId26"/>
  </sheets>
  <definedNames>
    <definedName name="_xlnm._FilterDatabase" localSheetId="4" hidden="1">'Streak Calculations-3rd Page'!$A$1:$D$1</definedName>
    <definedName name="_xlcn.WorksheetConnection_CommoditiesProject.xlsxAll_Commodities1" hidden="1">All_Commodities[]</definedName>
    <definedName name="_xlcn.WorksheetConnection_CommoditiesProject.xlsxDimYear1" hidden="1">DimYear[]</definedName>
    <definedName name="ExternalData_11" localSheetId="14" hidden="1">All_Commodities!$A$1:$L$587</definedName>
    <definedName name="ExternalData_11" localSheetId="25" hidden="1">DimYear!$A$1:$B$66</definedName>
    <definedName name="Slicer_Commodities">#N/A</definedName>
    <definedName name="Slicer_Commodities1">#N/A</definedName>
    <definedName name="Slicer_Growth_Status">#N/A</definedName>
    <definedName name="Slicer_Growth_Status1">#N/A</definedName>
    <definedName name="Slicer_Source_Key">#N/A</definedName>
    <definedName name="Slicer_Year">#N/A</definedName>
    <definedName name="Slicer_Year1">#N/A</definedName>
  </definedNames>
  <calcPr calcId="191029"/>
  <pivotCaches>
    <pivotCache cacheId="0" r:id="rId27"/>
    <pivotCache cacheId="1" r:id="rId28"/>
    <pivotCache cacheId="2" r:id="rId29"/>
    <pivotCache cacheId="3" r:id="rId30"/>
    <pivotCache cacheId="4" r:id="rId31"/>
    <pivotCache cacheId="5" r:id="rId32"/>
    <pivotCache cacheId="6" r:id="rId33"/>
    <pivotCache cacheId="7" r:id="rId34"/>
    <pivotCache cacheId="8" r:id="rId35"/>
    <pivotCache cacheId="9" r:id="rId36"/>
    <pivotCache cacheId="10" r:id="rId37"/>
    <pivotCache cacheId="11" r:id="rId38"/>
  </pivotCaches>
  <extLst>
    <ext xmlns:x14="http://schemas.microsoft.com/office/spreadsheetml/2009/9/main" uri="{876F7934-8845-4945-9796-88D515C7AA90}">
      <x14:pivotCaches>
        <pivotCache cacheId="12" r:id="rId39"/>
        <pivotCache cacheId="13" r:id="rId40"/>
        <pivotCache cacheId="14"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_70ed3676-622b-4705-bd53-4da91a04be6b" name="A" connection="Query - Measures"/>
          <x15:modelTable id="DimYear" name="DimYear" connection="WorksheetConnection_Commodities Project.xlsx!DimYear"/>
          <x15:modelTable id="All_Commodities" name="All_Commodities" connection="WorksheetConnection_Commodities Project.xlsx!All_Commodities"/>
        </x15:modelTables>
        <x15:modelRelationships>
          <x15:modelRelationship fromTable="All_Commodities" fromColumn="Year" toTable="DimYear"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43" l="1"/>
  <c r="I4" i="43"/>
  <c r="I5" i="43"/>
  <c r="I6" i="43"/>
  <c r="I7" i="43"/>
  <c r="I8" i="43"/>
  <c r="I9" i="43"/>
  <c r="I10" i="43"/>
  <c r="I11" i="43"/>
  <c r="I12" i="43"/>
  <c r="L2" i="43"/>
  <c r="K2" i="43"/>
  <c r="J2" i="43"/>
  <c r="I2" i="43"/>
  <c r="F4" i="43"/>
  <c r="L4" i="43" s="1"/>
  <c r="F5" i="43"/>
  <c r="L5" i="43" s="1"/>
  <c r="F6" i="43"/>
  <c r="L6" i="43" s="1"/>
  <c r="F7" i="43"/>
  <c r="L7" i="43" s="1"/>
  <c r="F8" i="43"/>
  <c r="L8" i="43" s="1"/>
  <c r="F9" i="43"/>
  <c r="L9" i="43" s="1"/>
  <c r="F10" i="43"/>
  <c r="L10" i="43" s="1"/>
  <c r="F11" i="43"/>
  <c r="L11" i="43" s="1"/>
  <c r="F12" i="43"/>
  <c r="L12" i="43" s="1"/>
  <c r="E4" i="43"/>
  <c r="K4" i="43" s="1"/>
  <c r="E5" i="43"/>
  <c r="K5" i="43" s="1"/>
  <c r="E6" i="43"/>
  <c r="K6" i="43" s="1"/>
  <c r="E7" i="43"/>
  <c r="K7" i="43" s="1"/>
  <c r="E8" i="43"/>
  <c r="K8" i="43" s="1"/>
  <c r="E9" i="43"/>
  <c r="K9" i="43" s="1"/>
  <c r="E10" i="43"/>
  <c r="K10" i="43" s="1"/>
  <c r="E11" i="43"/>
  <c r="K11" i="43" s="1"/>
  <c r="E12" i="43"/>
  <c r="K12" i="43" s="1"/>
  <c r="D4" i="43"/>
  <c r="J4" i="43" s="1"/>
  <c r="D5" i="43"/>
  <c r="J5" i="43" s="1"/>
  <c r="D6" i="43"/>
  <c r="J6" i="43" s="1"/>
  <c r="D7" i="43"/>
  <c r="J7" i="43" s="1"/>
  <c r="D8" i="43"/>
  <c r="J8" i="43" s="1"/>
  <c r="D9" i="43"/>
  <c r="J9" i="43" s="1"/>
  <c r="D10" i="43"/>
  <c r="J10" i="43" s="1"/>
  <c r="D11" i="43"/>
  <c r="J11" i="43" s="1"/>
  <c r="D12" i="43"/>
  <c r="J12" i="43" s="1"/>
  <c r="F3" i="43"/>
  <c r="L3" i="43" s="1"/>
  <c r="E3" i="43"/>
  <c r="K3" i="43" s="1"/>
  <c r="D3" i="43"/>
  <c r="J3" i="43" s="1"/>
  <c r="B2" i="42" a="1"/>
  <c r="B2" i="42" s="1"/>
  <c r="C2" i="42" s="1"/>
  <c r="A2" i="42" a="1"/>
  <c r="D47" i="42" s="1"/>
  <c r="C352" i="42" l="1"/>
  <c r="C309" i="42"/>
  <c r="C253" i="42"/>
  <c r="C191" i="42"/>
  <c r="C123" i="42"/>
  <c r="C68" i="42"/>
  <c r="C69" i="42" s="1"/>
  <c r="C14" i="42"/>
  <c r="D431" i="42"/>
  <c r="D432" i="42" s="1"/>
  <c r="D385" i="42"/>
  <c r="D386" i="42" s="1"/>
  <c r="D387" i="42" s="1"/>
  <c r="D155" i="42"/>
  <c r="D112" i="42"/>
  <c r="C422" i="42"/>
  <c r="C250" i="42"/>
  <c r="C67" i="42"/>
  <c r="D573" i="42"/>
  <c r="D574" i="42" s="1"/>
  <c r="D506" i="42"/>
  <c r="D430" i="42"/>
  <c r="D384" i="42"/>
  <c r="D154" i="42"/>
  <c r="D111" i="42"/>
  <c r="C539" i="42"/>
  <c r="C143" i="42"/>
  <c r="C61" i="42"/>
  <c r="C7" i="42"/>
  <c r="D429" i="42"/>
  <c r="D383" i="42"/>
  <c r="D340" i="42"/>
  <c r="D153" i="42"/>
  <c r="D109" i="42"/>
  <c r="C348" i="42"/>
  <c r="C402" i="42"/>
  <c r="C347" i="42"/>
  <c r="C550" i="42"/>
  <c r="C551" i="42" s="1"/>
  <c r="C419" i="42"/>
  <c r="C246" i="42"/>
  <c r="C188" i="42"/>
  <c r="C189" i="42" s="1"/>
  <c r="C190" i="42" s="1"/>
  <c r="C60" i="42"/>
  <c r="C6" i="42"/>
  <c r="D566" i="42"/>
  <c r="D567" i="42" s="1"/>
  <c r="D504" i="42"/>
  <c r="D505" i="42" s="1"/>
  <c r="D382" i="42"/>
  <c r="D152" i="42"/>
  <c r="C473" i="42"/>
  <c r="C474" i="42" s="1"/>
  <c r="C523" i="42"/>
  <c r="C416" i="42"/>
  <c r="C245" i="42"/>
  <c r="C187" i="42"/>
  <c r="C139" i="42"/>
  <c r="C56" i="42"/>
  <c r="D2" i="42"/>
  <c r="D563" i="42"/>
  <c r="D499" i="42"/>
  <c r="D327" i="42"/>
  <c r="D284" i="42"/>
  <c r="D97" i="42"/>
  <c r="D49" i="42"/>
  <c r="C540" i="42"/>
  <c r="C541" i="42" s="1"/>
  <c r="C542" i="42" s="1"/>
  <c r="C543" i="42" s="1"/>
  <c r="C142" i="42"/>
  <c r="C490" i="42"/>
  <c r="C491" i="42" s="1"/>
  <c r="C492" i="42" s="1"/>
  <c r="C493" i="42" s="1"/>
  <c r="C494" i="42" s="1"/>
  <c r="C495" i="42" s="1"/>
  <c r="C496" i="42" s="1"/>
  <c r="C497" i="42" s="1"/>
  <c r="C498" i="42" s="1"/>
  <c r="C499" i="42" s="1"/>
  <c r="C361" i="42"/>
  <c r="C548" i="42"/>
  <c r="C398" i="42"/>
  <c r="C299" i="42"/>
  <c r="C300" i="42" s="1"/>
  <c r="C301" i="42" s="1"/>
  <c r="C203" i="42"/>
  <c r="C204" i="42" s="1"/>
  <c r="C205" i="42" s="1"/>
  <c r="C183" i="42"/>
  <c r="C55" i="42"/>
  <c r="D493" i="42"/>
  <c r="D494" i="42" s="1"/>
  <c r="D325" i="42"/>
  <c r="D283" i="42"/>
  <c r="D235" i="42"/>
  <c r="D236" i="42" s="1"/>
  <c r="D95" i="42"/>
  <c r="D48" i="42"/>
  <c r="C423" i="42"/>
  <c r="C424" i="42" s="1"/>
  <c r="C420" i="42"/>
  <c r="C401" i="42"/>
  <c r="C549" i="42"/>
  <c r="C399" i="42"/>
  <c r="C400" i="42" s="1"/>
  <c r="C535" i="42"/>
  <c r="C536" i="42" s="1"/>
  <c r="C489" i="42"/>
  <c r="C415" i="42"/>
  <c r="C547" i="42"/>
  <c r="C534" i="42"/>
  <c r="C488" i="42"/>
  <c r="C414" i="42"/>
  <c r="C397" i="42"/>
  <c r="C359" i="42"/>
  <c r="C360" i="42" s="1"/>
  <c r="C298" i="42"/>
  <c r="C242" i="42"/>
  <c r="C202" i="42"/>
  <c r="C136" i="42"/>
  <c r="C137" i="42" s="1"/>
  <c r="C138" i="42" s="1"/>
  <c r="C54" i="42"/>
  <c r="D492" i="42"/>
  <c r="D461" i="42"/>
  <c r="D462" i="42" s="1"/>
  <c r="D463" i="42" s="1"/>
  <c r="D464" i="42" s="1"/>
  <c r="D465" i="42" s="1"/>
  <c r="D466" i="42" s="1"/>
  <c r="D467" i="42" s="1"/>
  <c r="D468" i="42" s="1"/>
  <c r="D469" i="42" s="1"/>
  <c r="D470" i="42" s="1"/>
  <c r="D471" i="42" s="1"/>
  <c r="D472" i="42" s="1"/>
  <c r="D473" i="42" s="1"/>
  <c r="D474" i="42" s="1"/>
  <c r="D475" i="42" s="1"/>
  <c r="D476" i="42" s="1"/>
  <c r="D477" i="42" s="1"/>
  <c r="D478" i="42" s="1"/>
  <c r="D479" i="42" s="1"/>
  <c r="D480" i="42" s="1"/>
  <c r="D481" i="42" s="1"/>
  <c r="D482" i="42" s="1"/>
  <c r="D483" i="42" s="1"/>
  <c r="D484" i="42" s="1"/>
  <c r="D485" i="42" s="1"/>
  <c r="D486" i="42" s="1"/>
  <c r="D487" i="42" s="1"/>
  <c r="D488" i="42" s="1"/>
  <c r="D489" i="42" s="1"/>
  <c r="D490" i="42" s="1"/>
  <c r="D282" i="42"/>
  <c r="D232" i="42"/>
  <c r="D233" i="42" s="1"/>
  <c r="D234" i="42" s="1"/>
  <c r="A2" i="42"/>
  <c r="C3" i="42" s="1"/>
  <c r="C4" i="42" s="1"/>
  <c r="D28" i="42"/>
  <c r="D29" i="42" s="1"/>
  <c r="D43" i="42"/>
  <c r="D96" i="42"/>
  <c r="D169" i="42"/>
  <c r="D212" i="42"/>
  <c r="D224" i="42"/>
  <c r="D264" i="42"/>
  <c r="D278" i="42"/>
  <c r="D326" i="42"/>
  <c r="D339" i="42"/>
  <c r="D438" i="42"/>
  <c r="D31" i="42"/>
  <c r="D45" i="42"/>
  <c r="D46" i="42" s="1"/>
  <c r="D83" i="42"/>
  <c r="D98" i="42"/>
  <c r="D110" i="42"/>
  <c r="D159" i="42"/>
  <c r="D171" i="42"/>
  <c r="D172" i="42" s="1"/>
  <c r="D173" i="42" s="1"/>
  <c r="D174" i="42" s="1"/>
  <c r="D175" i="42" s="1"/>
  <c r="D214" i="42"/>
  <c r="D215" i="42" s="1"/>
  <c r="D226" i="42"/>
  <c r="D280" i="42"/>
  <c r="D316" i="42"/>
  <c r="D328" i="42"/>
  <c r="D341" i="42"/>
  <c r="D342" i="42" s="1"/>
  <c r="D343" i="42" s="1"/>
  <c r="D344" i="42" s="1"/>
  <c r="D345" i="42" s="1"/>
  <c r="D346" i="42" s="1"/>
  <c r="D347" i="42" s="1"/>
  <c r="D348" i="42" s="1"/>
  <c r="D349" i="42" s="1"/>
  <c r="D350" i="42" s="1"/>
  <c r="D351" i="42" s="1"/>
  <c r="D352" i="42" s="1"/>
  <c r="D353" i="42" s="1"/>
  <c r="D354" i="42" s="1"/>
  <c r="D355" i="42" s="1"/>
  <c r="D356" i="42" s="1"/>
  <c r="D357" i="42" s="1"/>
  <c r="D358" i="42" s="1"/>
  <c r="D359" i="42" s="1"/>
  <c r="D360" i="42" s="1"/>
  <c r="D361" i="42" s="1"/>
  <c r="D362" i="42" s="1"/>
  <c r="D363" i="42" s="1"/>
  <c r="D364" i="42" s="1"/>
  <c r="D365" i="42" s="1"/>
  <c r="D366" i="42" s="1"/>
  <c r="D367" i="42" s="1"/>
  <c r="D377" i="42"/>
  <c r="D389" i="42"/>
  <c r="D390" i="42" s="1"/>
  <c r="D440" i="42"/>
  <c r="D456" i="42"/>
  <c r="D507" i="42"/>
  <c r="D508" i="42" s="1"/>
  <c r="D521" i="42"/>
  <c r="D558" i="42"/>
  <c r="D570" i="42"/>
  <c r="D582" i="42"/>
  <c r="C8" i="42"/>
  <c r="C20" i="42"/>
  <c r="C57" i="42"/>
  <c r="C58" i="42" s="1"/>
  <c r="C70" i="42"/>
  <c r="C82" i="42"/>
  <c r="C83" i="42" s="1"/>
  <c r="C84" i="42" s="1"/>
  <c r="C85" i="42" s="1"/>
  <c r="C86" i="42" s="1"/>
  <c r="C87" i="42" s="1"/>
  <c r="C88" i="42" s="1"/>
  <c r="C89" i="42" s="1"/>
  <c r="C90" i="42" s="1"/>
  <c r="C91" i="42" s="1"/>
  <c r="C92" i="42" s="1"/>
  <c r="C93" i="42" s="1"/>
  <c r="C94" i="42" s="1"/>
  <c r="C95" i="42" s="1"/>
  <c r="C96" i="42" s="1"/>
  <c r="C97" i="42" s="1"/>
  <c r="C98" i="42" s="1"/>
  <c r="C99" i="42" s="1"/>
  <c r="C100" i="42" s="1"/>
  <c r="C101" i="42" s="1"/>
  <c r="C102" i="42" s="1"/>
  <c r="C103" i="42" s="1"/>
  <c r="C104" i="42" s="1"/>
  <c r="C105" i="42" s="1"/>
  <c r="C106" i="42" s="1"/>
  <c r="C107" i="42" s="1"/>
  <c r="C108" i="42" s="1"/>
  <c r="C109" i="42" s="1"/>
  <c r="C110" i="42" s="1"/>
  <c r="C111" i="42" s="1"/>
  <c r="C112" i="42" s="1"/>
  <c r="C113" i="42" s="1"/>
  <c r="C114" i="42" s="1"/>
  <c r="C115" i="42" s="1"/>
  <c r="C116" i="42" s="1"/>
  <c r="C117" i="42" s="1"/>
  <c r="C145" i="42"/>
  <c r="C146" i="42" s="1"/>
  <c r="C194" i="42"/>
  <c r="C206" i="42"/>
  <c r="C243" i="42"/>
  <c r="C244" i="42" s="1"/>
  <c r="C293" i="42"/>
  <c r="C306" i="42"/>
  <c r="C350" i="42"/>
  <c r="C362" i="42"/>
  <c r="C425" i="42"/>
  <c r="C464" i="42"/>
  <c r="D34" i="42"/>
  <c r="D50" i="42"/>
  <c r="D99" i="42"/>
  <c r="D113" i="42"/>
  <c r="D156" i="42"/>
  <c r="D157" i="42" s="1"/>
  <c r="D176" i="42"/>
  <c r="D221" i="42"/>
  <c r="D237" i="42"/>
  <c r="D238" i="42" s="1"/>
  <c r="D239" i="42" s="1"/>
  <c r="D240" i="42" s="1"/>
  <c r="D241" i="42" s="1"/>
  <c r="D242" i="42" s="1"/>
  <c r="D243" i="42" s="1"/>
  <c r="D244" i="42" s="1"/>
  <c r="D245" i="42" s="1"/>
  <c r="D246" i="42" s="1"/>
  <c r="D247" i="42" s="1"/>
  <c r="D248" i="42" s="1"/>
  <c r="D249" i="42" s="1"/>
  <c r="D250" i="42" s="1"/>
  <c r="D251" i="42" s="1"/>
  <c r="D252" i="42" s="1"/>
  <c r="D253" i="42" s="1"/>
  <c r="D254" i="42" s="1"/>
  <c r="D255" i="42" s="1"/>
  <c r="D256" i="42" s="1"/>
  <c r="D257" i="42" s="1"/>
  <c r="D258" i="42" s="1"/>
  <c r="D259" i="42" s="1"/>
  <c r="D285" i="42"/>
  <c r="D329" i="42"/>
  <c r="D372" i="42"/>
  <c r="D447" i="42"/>
  <c r="D448" i="42" s="1"/>
  <c r="D449" i="42" s="1"/>
  <c r="D450" i="42" s="1"/>
  <c r="D451" i="42" s="1"/>
  <c r="D495" i="42"/>
  <c r="D509" i="42"/>
  <c r="D510" i="42" s="1"/>
  <c r="D511" i="42" s="1"/>
  <c r="D512" i="42" s="1"/>
  <c r="D564" i="42"/>
  <c r="C17" i="42"/>
  <c r="C18" i="42" s="1"/>
  <c r="C126" i="42"/>
  <c r="C140" i="42"/>
  <c r="C207" i="42"/>
  <c r="C247" i="42"/>
  <c r="C260" i="42"/>
  <c r="C261" i="42" s="1"/>
  <c r="C262" i="42" s="1"/>
  <c r="C263" i="42" s="1"/>
  <c r="C264" i="42" s="1"/>
  <c r="C265" i="42" s="1"/>
  <c r="C266" i="42" s="1"/>
  <c r="C267" i="42" s="1"/>
  <c r="C268" i="42" s="1"/>
  <c r="C269" i="42" s="1"/>
  <c r="C270" i="42" s="1"/>
  <c r="C271" i="42" s="1"/>
  <c r="C272" i="42" s="1"/>
  <c r="C273" i="42" s="1"/>
  <c r="C274" i="42" s="1"/>
  <c r="C275" i="42" s="1"/>
  <c r="C276" i="42" s="1"/>
  <c r="C277" i="42" s="1"/>
  <c r="C278" i="42" s="1"/>
  <c r="C279" i="42" s="1"/>
  <c r="C280" i="42" s="1"/>
  <c r="C281" i="42" s="1"/>
  <c r="C282" i="42" s="1"/>
  <c r="C283" i="42" s="1"/>
  <c r="C284" i="42" s="1"/>
  <c r="C285" i="42" s="1"/>
  <c r="C286" i="42" s="1"/>
  <c r="C288" i="42"/>
  <c r="C289" i="42" s="1"/>
  <c r="C290" i="42" s="1"/>
  <c r="C349" i="42"/>
  <c r="C363" i="42"/>
  <c r="C404" i="42"/>
  <c r="C417" i="42"/>
  <c r="D35" i="42"/>
  <c r="D51" i="42"/>
  <c r="D100" i="42"/>
  <c r="D114" i="42"/>
  <c r="D158" i="42"/>
  <c r="D177" i="42"/>
  <c r="D222" i="42"/>
  <c r="D272" i="42"/>
  <c r="D286" i="42"/>
  <c r="D315" i="42"/>
  <c r="D330" i="42"/>
  <c r="D331" i="42" s="1"/>
  <c r="D332" i="42" s="1"/>
  <c r="D373" i="42"/>
  <c r="D388" i="42"/>
  <c r="D433" i="42"/>
  <c r="D452" i="42"/>
  <c r="D496" i="42"/>
  <c r="D497" i="42" s="1"/>
  <c r="D552" i="42"/>
  <c r="D553" i="42" s="1"/>
  <c r="D565" i="42"/>
  <c r="C5" i="42"/>
  <c r="C59" i="42"/>
  <c r="C73" i="42"/>
  <c r="C127" i="42"/>
  <c r="C128" i="42" s="1"/>
  <c r="C141" i="42"/>
  <c r="C195" i="42"/>
  <c r="C208" i="42"/>
  <c r="C209" i="42" s="1"/>
  <c r="C210" i="42" s="1"/>
  <c r="C211" i="42" s="1"/>
  <c r="C212" i="42" s="1"/>
  <c r="C213" i="42" s="1"/>
  <c r="C214" i="42" s="1"/>
  <c r="C215" i="42" s="1"/>
  <c r="C216" i="42" s="1"/>
  <c r="C217" i="42" s="1"/>
  <c r="C218" i="42" s="1"/>
  <c r="C219" i="42" s="1"/>
  <c r="C220" i="42" s="1"/>
  <c r="C221" i="42" s="1"/>
  <c r="C222" i="42" s="1"/>
  <c r="C223" i="42" s="1"/>
  <c r="C224" i="42" s="1"/>
  <c r="C225" i="42" s="1"/>
  <c r="C226" i="42" s="1"/>
  <c r="C227" i="42" s="1"/>
  <c r="C228" i="42" s="1"/>
  <c r="C229" i="42" s="1"/>
  <c r="C230" i="42" s="1"/>
  <c r="C231" i="42" s="1"/>
  <c r="C232" i="42" s="1"/>
  <c r="C233" i="42" s="1"/>
  <c r="C234" i="42" s="1"/>
  <c r="C235" i="42"/>
  <c r="C248" i="42"/>
  <c r="C249" i="42" s="1"/>
  <c r="C302" i="42"/>
  <c r="C303" i="42" s="1"/>
  <c r="C304" i="42" s="1"/>
  <c r="C305" i="42" s="1"/>
  <c r="C351" i="42"/>
  <c r="C364" i="42"/>
  <c r="C365" i="42" s="1"/>
  <c r="C366" i="42" s="1"/>
  <c r="C405" i="42"/>
  <c r="C406" i="42" s="1"/>
  <c r="C407" i="42" s="1"/>
  <c r="C418" i="42"/>
  <c r="C461" i="42"/>
  <c r="C462" i="42" s="1"/>
  <c r="C475" i="42"/>
  <c r="D36" i="42"/>
  <c r="D52" i="42"/>
  <c r="D84" i="42"/>
  <c r="D101" i="42"/>
  <c r="D115" i="42"/>
  <c r="D160" i="42"/>
  <c r="D178" i="42"/>
  <c r="D223" i="42"/>
  <c r="D273" i="42"/>
  <c r="D287" i="42"/>
  <c r="D288" i="42" s="1"/>
  <c r="D289" i="42" s="1"/>
  <c r="D290" i="42" s="1"/>
  <c r="D291" i="42" s="1"/>
  <c r="D292" i="42" s="1"/>
  <c r="D293" i="42" s="1"/>
  <c r="D294" i="42" s="1"/>
  <c r="D295" i="42" s="1"/>
  <c r="D296" i="42" s="1"/>
  <c r="D297" i="42" s="1"/>
  <c r="D298" i="42" s="1"/>
  <c r="D299" i="42" s="1"/>
  <c r="D300" i="42" s="1"/>
  <c r="D301" i="42" s="1"/>
  <c r="D302" i="42" s="1"/>
  <c r="D303" i="42" s="1"/>
  <c r="D304" i="42" s="1"/>
  <c r="D305" i="42" s="1"/>
  <c r="D306" i="42" s="1"/>
  <c r="D307" i="42" s="1"/>
  <c r="D308" i="42" s="1"/>
  <c r="D317" i="42"/>
  <c r="D374" i="42"/>
  <c r="D375" i="42" s="1"/>
  <c r="D434" i="42"/>
  <c r="D435" i="42" s="1"/>
  <c r="D436" i="42" s="1"/>
  <c r="D453" i="42"/>
  <c r="D454" i="42" s="1"/>
  <c r="D498" i="42"/>
  <c r="D513" i="42"/>
  <c r="D37" i="42"/>
  <c r="D53" i="42"/>
  <c r="D54" i="42" s="1"/>
  <c r="D55" i="42" s="1"/>
  <c r="D56" i="42" s="1"/>
  <c r="D57" i="42" s="1"/>
  <c r="D58" i="42" s="1"/>
  <c r="D59" i="42" s="1"/>
  <c r="D60" i="42" s="1"/>
  <c r="D61" i="42" s="1"/>
  <c r="D62" i="42" s="1"/>
  <c r="D63" i="42" s="1"/>
  <c r="D64" i="42" s="1"/>
  <c r="D65" i="42" s="1"/>
  <c r="D66" i="42" s="1"/>
  <c r="D67" i="42" s="1"/>
  <c r="D68" i="42" s="1"/>
  <c r="D69" i="42" s="1"/>
  <c r="D70" i="42" s="1"/>
  <c r="D71" i="42" s="1"/>
  <c r="D72" i="42" s="1"/>
  <c r="D73" i="42" s="1"/>
  <c r="D74" i="42" s="1"/>
  <c r="D75" i="42" s="1"/>
  <c r="D76" i="42" s="1"/>
  <c r="D77" i="42" s="1"/>
  <c r="D78" i="42" s="1"/>
  <c r="D79" i="42" s="1"/>
  <c r="D80" i="42" s="1"/>
  <c r="D81" i="42" s="1"/>
  <c r="D82" i="42" s="1"/>
  <c r="D85" i="42"/>
  <c r="D102" i="42"/>
  <c r="D116" i="42"/>
  <c r="D161" i="42"/>
  <c r="D179" i="42"/>
  <c r="D210" i="42"/>
  <c r="D225" i="42"/>
  <c r="D274" i="42"/>
  <c r="D318" i="42"/>
  <c r="D319" i="42" s="1"/>
  <c r="D333" i="42"/>
  <c r="D376" i="42"/>
  <c r="D391" i="42"/>
  <c r="D392" i="42" s="1"/>
  <c r="D38" i="42"/>
  <c r="D86" i="42"/>
  <c r="D103" i="42"/>
  <c r="D117" i="42"/>
  <c r="D162" i="42"/>
  <c r="D180" i="42"/>
  <c r="D211" i="42"/>
  <c r="D227" i="42"/>
  <c r="D275" i="42"/>
  <c r="D276" i="42" s="1"/>
  <c r="D277" i="42" s="1"/>
  <c r="D334" i="42"/>
  <c r="D378" i="42"/>
  <c r="D437" i="42"/>
  <c r="D457" i="42"/>
  <c r="D500" i="42"/>
  <c r="D515" i="42"/>
  <c r="D516" i="42" s="1"/>
  <c r="D555" i="42"/>
  <c r="D568" i="42"/>
  <c r="D581" i="42"/>
  <c r="C9" i="42"/>
  <c r="C22" i="42"/>
  <c r="C62" i="42"/>
  <c r="C130" i="42"/>
  <c r="C144" i="42"/>
  <c r="C184" i="42"/>
  <c r="C198" i="42"/>
  <c r="C251" i="42"/>
  <c r="C292" i="42"/>
  <c r="C307" i="42"/>
  <c r="C308" i="42" s="1"/>
  <c r="C354" i="42"/>
  <c r="C367" i="42"/>
  <c r="C408" i="42"/>
  <c r="C421" i="42"/>
  <c r="C465" i="42"/>
  <c r="C466" i="42" s="1"/>
  <c r="C545" i="42"/>
  <c r="C118" i="42"/>
  <c r="D39" i="42"/>
  <c r="D40" i="42" s="1"/>
  <c r="D41" i="42" s="1"/>
  <c r="D87" i="42"/>
  <c r="D104" i="42"/>
  <c r="D118" i="42"/>
  <c r="D119" i="42" s="1"/>
  <c r="D120" i="42" s="1"/>
  <c r="D121" i="42" s="1"/>
  <c r="D122" i="42" s="1"/>
  <c r="D123" i="42" s="1"/>
  <c r="D124" i="42" s="1"/>
  <c r="D125" i="42" s="1"/>
  <c r="D126" i="42" s="1"/>
  <c r="D127" i="42" s="1"/>
  <c r="D128" i="42" s="1"/>
  <c r="D129" i="42" s="1"/>
  <c r="D130" i="42" s="1"/>
  <c r="D131" i="42" s="1"/>
  <c r="D132" i="42" s="1"/>
  <c r="D133" i="42" s="1"/>
  <c r="D134" i="42" s="1"/>
  <c r="D135" i="42" s="1"/>
  <c r="D136" i="42" s="1"/>
  <c r="D137" i="42" s="1"/>
  <c r="D138" i="42" s="1"/>
  <c r="D139" i="42" s="1"/>
  <c r="D140" i="42" s="1"/>
  <c r="D141" i="42" s="1"/>
  <c r="D142" i="42" s="1"/>
  <c r="D143" i="42" s="1"/>
  <c r="D144" i="42" s="1"/>
  <c r="D145" i="42" s="1"/>
  <c r="D146" i="42" s="1"/>
  <c r="D147" i="42" s="1"/>
  <c r="D148" i="42" s="1"/>
  <c r="D149" i="42"/>
  <c r="D163" i="42"/>
  <c r="D181" i="42"/>
  <c r="D182" i="42" s="1"/>
  <c r="D183" i="42" s="1"/>
  <c r="D213" i="42"/>
  <c r="D228" i="42"/>
  <c r="D229" i="42" s="1"/>
  <c r="D260" i="42"/>
  <c r="D320" i="42"/>
  <c r="D335" i="42"/>
  <c r="D379" i="42"/>
  <c r="D393" i="42"/>
  <c r="D439" i="42"/>
  <c r="D458" i="42"/>
  <c r="D501" i="42"/>
  <c r="D556" i="42"/>
  <c r="D569" i="42"/>
  <c r="D583" i="42"/>
  <c r="C10" i="42"/>
  <c r="C23" i="42"/>
  <c r="C63" i="42"/>
  <c r="C77" i="42"/>
  <c r="C131" i="42"/>
  <c r="C132" i="42" s="1"/>
  <c r="C185" i="42"/>
  <c r="C186" i="42" s="1"/>
  <c r="C199" i="42"/>
  <c r="C200" i="42" s="1"/>
  <c r="C252" i="42"/>
  <c r="D42" i="42"/>
  <c r="D88" i="42"/>
  <c r="D89" i="42" s="1"/>
  <c r="D90" i="42" s="1"/>
  <c r="D91" i="42" s="1"/>
  <c r="D105" i="42"/>
  <c r="D150" i="42"/>
  <c r="D164" i="42"/>
  <c r="D261" i="42"/>
  <c r="D321" i="42"/>
  <c r="D336" i="42"/>
  <c r="D380" i="42"/>
  <c r="D394" i="42"/>
  <c r="D441" i="42"/>
  <c r="D459" i="42"/>
  <c r="D502" i="42"/>
  <c r="D517" i="42"/>
  <c r="D557" i="42"/>
  <c r="D571" i="42"/>
  <c r="D572" i="42" s="1"/>
  <c r="D584" i="42"/>
  <c r="C11" i="42"/>
  <c r="C12" i="42" s="1"/>
  <c r="C13" i="42" s="1"/>
  <c r="C24" i="42"/>
  <c r="C64" i="42"/>
  <c r="C65" i="42" s="1"/>
  <c r="C66" i="42" s="1"/>
  <c r="C78" i="42"/>
  <c r="C119" i="42"/>
  <c r="C120" i="42" s="1"/>
  <c r="C121" i="42" s="1"/>
  <c r="C122" i="42" s="1"/>
  <c r="C133" i="42"/>
  <c r="C147" i="42"/>
  <c r="D26" i="42"/>
  <c r="D44" i="42"/>
  <c r="D92" i="42"/>
  <c r="D106" i="42"/>
  <c r="D107" i="42" s="1"/>
  <c r="D108" i="42" s="1"/>
  <c r="D151" i="42"/>
  <c r="D165" i="42"/>
  <c r="D216" i="42"/>
  <c r="D230" i="42"/>
  <c r="D231" i="42" s="1"/>
  <c r="D262" i="42"/>
  <c r="D279" i="42"/>
  <c r="D322" i="42"/>
  <c r="D337" i="42"/>
  <c r="D338" i="42" s="1"/>
  <c r="D381" i="42"/>
  <c r="D395" i="42"/>
  <c r="D396" i="42" s="1"/>
  <c r="D442" i="42"/>
  <c r="D460" i="42"/>
  <c r="D503" i="42"/>
  <c r="D518" i="42"/>
  <c r="D559" i="42"/>
  <c r="D560" i="42" s="1"/>
  <c r="D561" i="42" s="1"/>
  <c r="D562" i="42" s="1"/>
  <c r="D585" i="42"/>
  <c r="C25" i="42"/>
  <c r="C79" i="42"/>
  <c r="C134" i="42"/>
  <c r="C148" i="42"/>
  <c r="C149" i="42" s="1"/>
  <c r="C150" i="42" s="1"/>
  <c r="C151" i="42" s="1"/>
  <c r="C152" i="42" s="1"/>
  <c r="C153" i="42" s="1"/>
  <c r="C154" i="42" s="1"/>
  <c r="C155" i="42" s="1"/>
  <c r="C156" i="42" s="1"/>
  <c r="C157" i="42" s="1"/>
  <c r="C158" i="42" s="1"/>
  <c r="C159" i="42" s="1"/>
  <c r="C160" i="42" s="1"/>
  <c r="C161" i="42" s="1"/>
  <c r="C162" i="42" s="1"/>
  <c r="C163" i="42" s="1"/>
  <c r="C164" i="42" s="1"/>
  <c r="C165" i="42" s="1"/>
  <c r="C166" i="42" s="1"/>
  <c r="C167" i="42" s="1"/>
  <c r="C168" i="42" s="1"/>
  <c r="C169" i="42" s="1"/>
  <c r="C170" i="42" s="1"/>
  <c r="C171" i="42" s="1"/>
  <c r="C172" i="42" s="1"/>
  <c r="C173" i="42" s="1"/>
  <c r="C174" i="42" s="1"/>
  <c r="C175" i="42" s="1"/>
  <c r="C176" i="42" s="1"/>
  <c r="C177" i="42" s="1"/>
  <c r="C178" i="42" s="1"/>
  <c r="C179" i="42" s="1"/>
  <c r="C180" i="42" s="1"/>
  <c r="C181" i="42" s="1"/>
  <c r="C182" i="42" s="1"/>
  <c r="C546" i="42"/>
  <c r="C532" i="42"/>
  <c r="C533" i="42" s="1"/>
  <c r="C483" i="42"/>
  <c r="C484" i="42" s="1"/>
  <c r="C485" i="42" s="1"/>
  <c r="C486" i="42" s="1"/>
  <c r="C487" i="42" s="1"/>
  <c r="C468" i="42"/>
  <c r="C469" i="42" s="1"/>
  <c r="C470" i="42" s="1"/>
  <c r="C471" i="42" s="1"/>
  <c r="C472" i="42" s="1"/>
  <c r="C413" i="42"/>
  <c r="C358" i="42"/>
  <c r="C297" i="42"/>
  <c r="C259" i="42"/>
  <c r="C241" i="42"/>
  <c r="C201" i="42"/>
  <c r="C135" i="42"/>
  <c r="C80" i="42"/>
  <c r="C81" i="42" s="1"/>
  <c r="C53" i="42"/>
  <c r="C26" i="42"/>
  <c r="C27" i="42" s="1"/>
  <c r="C28" i="42" s="1"/>
  <c r="C29" i="42" s="1"/>
  <c r="C30" i="42" s="1"/>
  <c r="C31" i="42" s="1"/>
  <c r="C32" i="42" s="1"/>
  <c r="C33" i="42" s="1"/>
  <c r="C34" i="42" s="1"/>
  <c r="C35" i="42" s="1"/>
  <c r="C36" i="42" s="1"/>
  <c r="C37" i="42" s="1"/>
  <c r="C38" i="42" s="1"/>
  <c r="C39" i="42" s="1"/>
  <c r="C40" i="42" s="1"/>
  <c r="C41" i="42" s="1"/>
  <c r="C42" i="42" s="1"/>
  <c r="C43" i="42" s="1"/>
  <c r="C44" i="42" s="1"/>
  <c r="C45" i="42" s="1"/>
  <c r="C46" i="42" s="1"/>
  <c r="C47" i="42" s="1"/>
  <c r="C48" i="42" s="1"/>
  <c r="C49" i="42" s="1"/>
  <c r="C50" i="42" s="1"/>
  <c r="C51" i="42" s="1"/>
  <c r="C52" i="42" s="1"/>
  <c r="D586" i="42"/>
  <c r="D587" i="42" s="1"/>
  <c r="D523" i="42"/>
  <c r="D524" i="42" s="1"/>
  <c r="D525" i="42" s="1"/>
  <c r="D526" i="42" s="1"/>
  <c r="D527" i="42" s="1"/>
  <c r="D528" i="42" s="1"/>
  <c r="D529" i="42" s="1"/>
  <c r="D530" i="42" s="1"/>
  <c r="D531" i="42" s="1"/>
  <c r="D532" i="42" s="1"/>
  <c r="D533" i="42" s="1"/>
  <c r="D534" i="42" s="1"/>
  <c r="D535" i="42" s="1"/>
  <c r="D536" i="42" s="1"/>
  <c r="D537" i="42" s="1"/>
  <c r="D538" i="42" s="1"/>
  <c r="D539" i="42" s="1"/>
  <c r="D540" i="42" s="1"/>
  <c r="D541" i="42" s="1"/>
  <c r="D542" i="42" s="1"/>
  <c r="D543" i="42" s="1"/>
  <c r="D544" i="42" s="1"/>
  <c r="D545" i="42" s="1"/>
  <c r="D546" i="42" s="1"/>
  <c r="D547" i="42" s="1"/>
  <c r="D548" i="42" s="1"/>
  <c r="D549" i="42" s="1"/>
  <c r="D550" i="42" s="1"/>
  <c r="D551" i="42" s="1"/>
  <c r="D491" i="42"/>
  <c r="D455" i="42"/>
  <c r="D368" i="42"/>
  <c r="D369" i="42" s="1"/>
  <c r="D370" i="42" s="1"/>
  <c r="D371" i="42" s="1"/>
  <c r="D323" i="42"/>
  <c r="D324" i="42" s="1"/>
  <c r="D281" i="42"/>
  <c r="D184" i="42"/>
  <c r="D185" i="42" s="1"/>
  <c r="D186" i="42" s="1"/>
  <c r="D187" i="42" s="1"/>
  <c r="D188" i="42" s="1"/>
  <c r="D189" i="42" s="1"/>
  <c r="D190" i="42" s="1"/>
  <c r="D191" i="42" s="1"/>
  <c r="D192" i="42" s="1"/>
  <c r="D193" i="42" s="1"/>
  <c r="D194" i="42" s="1"/>
  <c r="D195" i="42" s="1"/>
  <c r="D196" i="42" s="1"/>
  <c r="D197" i="42" s="1"/>
  <c r="D198" i="42" s="1"/>
  <c r="D199" i="42" s="1"/>
  <c r="D200" i="42" s="1"/>
  <c r="D201" i="42" s="1"/>
  <c r="D202" i="42" s="1"/>
  <c r="D203" i="42" s="1"/>
  <c r="D204" i="42" s="1"/>
  <c r="D205" i="42" s="1"/>
  <c r="D206" i="42" s="1"/>
  <c r="D207" i="42" s="1"/>
  <c r="D208" i="42" s="1"/>
  <c r="D209" i="42" s="1"/>
  <c r="D93" i="42"/>
  <c r="D94" i="42" s="1"/>
  <c r="C476" i="42"/>
  <c r="C477" i="42" s="1"/>
  <c r="C478" i="42" s="1"/>
  <c r="C287" i="42"/>
  <c r="C524" i="42"/>
  <c r="C525" i="42" s="1"/>
  <c r="C526" i="42" s="1"/>
  <c r="C482" i="42"/>
  <c r="D312" i="42"/>
  <c r="D313" i="42" s="1"/>
  <c r="D314" i="42" s="1"/>
  <c r="D268" i="42"/>
  <c r="D269" i="42" s="1"/>
  <c r="D270" i="42" s="1"/>
  <c r="D271" i="42" s="1"/>
  <c r="D170" i="42"/>
  <c r="D33" i="42"/>
  <c r="C552" i="42"/>
  <c r="C553" i="42" s="1"/>
  <c r="C554" i="42" s="1"/>
  <c r="C555" i="42" s="1"/>
  <c r="C556" i="42" s="1"/>
  <c r="C557" i="42" s="1"/>
  <c r="C558" i="42" s="1"/>
  <c r="C559" i="42" s="1"/>
  <c r="C560" i="42" s="1"/>
  <c r="C561" i="42" s="1"/>
  <c r="C562" i="42" s="1"/>
  <c r="C563" i="42" s="1"/>
  <c r="C564" i="42" s="1"/>
  <c r="C565" i="42" s="1"/>
  <c r="C566" i="42" s="1"/>
  <c r="C567" i="42" s="1"/>
  <c r="C568" i="42" s="1"/>
  <c r="C569" i="42" s="1"/>
  <c r="C570" i="42" s="1"/>
  <c r="C571" i="42" s="1"/>
  <c r="C572" i="42" s="1"/>
  <c r="C573" i="42" s="1"/>
  <c r="C574" i="42" s="1"/>
  <c r="C575" i="42" s="1"/>
  <c r="C576" i="42" s="1"/>
  <c r="C577" i="42" s="1"/>
  <c r="C578" i="42" s="1"/>
  <c r="C579" i="42" s="1"/>
  <c r="C580" i="42" s="1"/>
  <c r="C581" i="42" s="1"/>
  <c r="C582" i="42" s="1"/>
  <c r="C583" i="42" s="1"/>
  <c r="C584" i="42" s="1"/>
  <c r="C585" i="42" s="1"/>
  <c r="C586" i="42" s="1"/>
  <c r="C587" i="42" s="1"/>
  <c r="C368" i="42"/>
  <c r="C369" i="42" s="1"/>
  <c r="C370" i="42" s="1"/>
  <c r="C371" i="42" s="1"/>
  <c r="C372" i="42" s="1"/>
  <c r="C373" i="42" s="1"/>
  <c r="C374" i="42" s="1"/>
  <c r="C375" i="42" s="1"/>
  <c r="C376" i="42" s="1"/>
  <c r="C377" i="42" s="1"/>
  <c r="C378" i="42" s="1"/>
  <c r="C379" i="42" s="1"/>
  <c r="C380" i="42" s="1"/>
  <c r="C381" i="42" s="1"/>
  <c r="C382" i="42" s="1"/>
  <c r="C383" i="42" s="1"/>
  <c r="C384" i="42" s="1"/>
  <c r="C385" i="42" s="1"/>
  <c r="C386" i="42" s="1"/>
  <c r="C387" i="42" s="1"/>
  <c r="C388" i="42" s="1"/>
  <c r="C389" i="42" s="1"/>
  <c r="C390" i="42" s="1"/>
  <c r="C391" i="42" s="1"/>
  <c r="C392" i="42" s="1"/>
  <c r="C393" i="42" s="1"/>
  <c r="C394" i="42" s="1"/>
  <c r="C395" i="42" s="1"/>
  <c r="C396" i="42" s="1"/>
  <c r="C537" i="42"/>
  <c r="C538" i="42" s="1"/>
  <c r="C467" i="42"/>
  <c r="C411" i="42"/>
  <c r="C412" i="42" s="1"/>
  <c r="C357" i="42"/>
  <c r="C74" i="42"/>
  <c r="C527" i="42"/>
  <c r="C403" i="42"/>
  <c r="C341" i="42"/>
  <c r="C342" i="42" s="1"/>
  <c r="C343" i="42" s="1"/>
  <c r="C344" i="42" s="1"/>
  <c r="C345" i="42" s="1"/>
  <c r="C346" i="42" s="1"/>
  <c r="C544" i="42"/>
  <c r="C258" i="42"/>
  <c r="C21" i="42"/>
  <c r="D220" i="42"/>
  <c r="C530" i="42"/>
  <c r="C428" i="42"/>
  <c r="C429" i="42" s="1"/>
  <c r="C430" i="42" s="1"/>
  <c r="C431" i="42" s="1"/>
  <c r="C432" i="42" s="1"/>
  <c r="C433" i="42" s="1"/>
  <c r="C434" i="42" s="1"/>
  <c r="C435" i="42" s="1"/>
  <c r="C436" i="42" s="1"/>
  <c r="C437" i="42" s="1"/>
  <c r="C438" i="42" s="1"/>
  <c r="C439" i="42" s="1"/>
  <c r="C440" i="42" s="1"/>
  <c r="C441" i="42" s="1"/>
  <c r="C442" i="42" s="1"/>
  <c r="C443" i="42" s="1"/>
  <c r="C444" i="42" s="1"/>
  <c r="C445" i="42" s="1"/>
  <c r="C446" i="42" s="1"/>
  <c r="C447" i="42" s="1"/>
  <c r="C448" i="42" s="1"/>
  <c r="C449" i="42" s="1"/>
  <c r="C450" i="42" s="1"/>
  <c r="C451" i="42" s="1"/>
  <c r="C452" i="42" s="1"/>
  <c r="C453" i="42" s="1"/>
  <c r="C454" i="42" s="1"/>
  <c r="C455" i="42" s="1"/>
  <c r="C456" i="42" s="1"/>
  <c r="C457" i="42" s="1"/>
  <c r="C458" i="42" s="1"/>
  <c r="C459" i="42" s="1"/>
  <c r="C460" i="42" s="1"/>
  <c r="C237" i="42"/>
  <c r="C238" i="42" s="1"/>
  <c r="C239" i="42" s="1"/>
  <c r="C240" i="42" s="1"/>
  <c r="C197" i="42"/>
  <c r="D445" i="42"/>
  <c r="D311" i="42"/>
  <c r="D267" i="42"/>
  <c r="D219" i="42"/>
  <c r="D32" i="42"/>
  <c r="C480" i="42"/>
  <c r="C463" i="42"/>
  <c r="C427" i="42"/>
  <c r="C409" i="42"/>
  <c r="C410" i="42" s="1"/>
  <c r="C355" i="42"/>
  <c r="C294" i="42"/>
  <c r="C256" i="42"/>
  <c r="C236" i="42"/>
  <c r="C196" i="42"/>
  <c r="C125" i="42"/>
  <c r="C71" i="42"/>
  <c r="C72" i="42" s="1"/>
  <c r="C16" i="42"/>
  <c r="D576" i="42"/>
  <c r="D577" i="42" s="1"/>
  <c r="D578" i="42" s="1"/>
  <c r="D579" i="42" s="1"/>
  <c r="D519" i="42"/>
  <c r="D444" i="42"/>
  <c r="D397" i="42"/>
  <c r="D398" i="42" s="1"/>
  <c r="D399" i="42" s="1"/>
  <c r="D400" i="42" s="1"/>
  <c r="D401" i="42" s="1"/>
  <c r="D402" i="42" s="1"/>
  <c r="D403" i="42" s="1"/>
  <c r="D404" i="42" s="1"/>
  <c r="D405" i="42" s="1"/>
  <c r="D406" i="42" s="1"/>
  <c r="D407" i="42" s="1"/>
  <c r="D408" i="42" s="1"/>
  <c r="D409" i="42" s="1"/>
  <c r="D410" i="42" s="1"/>
  <c r="D411" i="42" s="1"/>
  <c r="D412" i="42" s="1"/>
  <c r="D413" i="42" s="1"/>
  <c r="D414" i="42" s="1"/>
  <c r="D415" i="42" s="1"/>
  <c r="D416" i="42" s="1"/>
  <c r="D417" i="42" s="1"/>
  <c r="D418" i="42" s="1"/>
  <c r="D419" i="42" s="1"/>
  <c r="D420" i="42" s="1"/>
  <c r="D421" i="42" s="1"/>
  <c r="D422" i="42" s="1"/>
  <c r="D423" i="42" s="1"/>
  <c r="D424" i="42" s="1"/>
  <c r="D425" i="42" s="1"/>
  <c r="D426" i="42" s="1"/>
  <c r="D427" i="42" s="1"/>
  <c r="D428" i="42" s="1"/>
  <c r="D265" i="42"/>
  <c r="D266" i="42" s="1"/>
  <c r="D218" i="42"/>
  <c r="D167" i="42"/>
  <c r="D30" i="42"/>
  <c r="C531" i="42"/>
  <c r="C500" i="42"/>
  <c r="C501" i="42" s="1"/>
  <c r="C502" i="42" s="1"/>
  <c r="C503" i="42" s="1"/>
  <c r="C504" i="42" s="1"/>
  <c r="C505" i="42" s="1"/>
  <c r="C506" i="42" s="1"/>
  <c r="C507" i="42" s="1"/>
  <c r="C508" i="42" s="1"/>
  <c r="C509" i="42" s="1"/>
  <c r="C510" i="42" s="1"/>
  <c r="C511" i="42" s="1"/>
  <c r="C512" i="42" s="1"/>
  <c r="C513" i="42" s="1"/>
  <c r="C514" i="42" s="1"/>
  <c r="C515" i="42" s="1"/>
  <c r="C516" i="42" s="1"/>
  <c r="C517" i="42" s="1"/>
  <c r="C518" i="42" s="1"/>
  <c r="C519" i="42" s="1"/>
  <c r="C520" i="42" s="1"/>
  <c r="C521" i="42" s="1"/>
  <c r="C522" i="42" s="1"/>
  <c r="C129" i="42"/>
  <c r="C75" i="42"/>
  <c r="C76" i="42" s="1"/>
  <c r="D580" i="42"/>
  <c r="D554" i="42"/>
  <c r="D522" i="42"/>
  <c r="D446" i="42"/>
  <c r="C481" i="42"/>
  <c r="C356" i="42"/>
  <c r="C295" i="42"/>
  <c r="C296" i="42" s="1"/>
  <c r="C257" i="42"/>
  <c r="C19" i="42"/>
  <c r="D520" i="42"/>
  <c r="D168" i="42"/>
  <c r="C528" i="42"/>
  <c r="C529" i="42" s="1"/>
  <c r="C479" i="42"/>
  <c r="C426" i="42"/>
  <c r="C353" i="42"/>
  <c r="C310" i="42"/>
  <c r="C311" i="42" s="1"/>
  <c r="C312" i="42" s="1"/>
  <c r="C313" i="42" s="1"/>
  <c r="C314" i="42" s="1"/>
  <c r="C315" i="42" s="1"/>
  <c r="C316" i="42" s="1"/>
  <c r="C317" i="42" s="1"/>
  <c r="C318" i="42" s="1"/>
  <c r="C319" i="42" s="1"/>
  <c r="C320" i="42" s="1"/>
  <c r="C321" i="42" s="1"/>
  <c r="C322" i="42" s="1"/>
  <c r="C323" i="42" s="1"/>
  <c r="C324" i="42" s="1"/>
  <c r="C325" i="42" s="1"/>
  <c r="C326" i="42" s="1"/>
  <c r="C327" i="42" s="1"/>
  <c r="C328" i="42" s="1"/>
  <c r="C329" i="42" s="1"/>
  <c r="C330" i="42" s="1"/>
  <c r="C331" i="42" s="1"/>
  <c r="C332" i="42" s="1"/>
  <c r="C333" i="42" s="1"/>
  <c r="C334" i="42" s="1"/>
  <c r="C335" i="42" s="1"/>
  <c r="C336" i="42" s="1"/>
  <c r="C337" i="42" s="1"/>
  <c r="C338" i="42" s="1"/>
  <c r="C339" i="42" s="1"/>
  <c r="C340" i="42" s="1"/>
  <c r="C291" i="42"/>
  <c r="C254" i="42"/>
  <c r="C255" i="42" s="1"/>
  <c r="C192" i="42"/>
  <c r="C193" i="42" s="1"/>
  <c r="C124" i="42"/>
  <c r="C15" i="42"/>
  <c r="D575" i="42"/>
  <c r="D514" i="42"/>
  <c r="D443" i="42"/>
  <c r="D309" i="42"/>
  <c r="D310" i="42" s="1"/>
  <c r="D263" i="42"/>
  <c r="D217" i="42"/>
  <c r="D166" i="42"/>
  <c r="D27" i="42"/>
  <c r="J11" i="42" l="1"/>
  <c r="J10" i="42"/>
  <c r="J4" i="42"/>
  <c r="J9" i="42"/>
  <c r="J8" i="42"/>
  <c r="J2" i="42"/>
  <c r="J3" i="42"/>
  <c r="J7" i="42"/>
  <c r="J6" i="42"/>
  <c r="K5" i="42"/>
  <c r="J5" i="42"/>
  <c r="D3" i="42"/>
  <c r="D4" i="42" l="1"/>
  <c r="K3" i="42" s="1"/>
  <c r="J16" i="42"/>
  <c r="I16" i="42"/>
  <c r="D5" i="42" l="1"/>
  <c r="D6" i="42" l="1"/>
  <c r="D7" i="42" l="1"/>
  <c r="D8" i="42" l="1"/>
  <c r="D9" i="42" l="1"/>
  <c r="D10" i="42" l="1"/>
  <c r="D11" i="42" l="1"/>
  <c r="D12" i="42" l="1"/>
  <c r="D13" i="42" l="1"/>
  <c r="D14" i="42" l="1"/>
  <c r="D15" i="42" l="1"/>
  <c r="D16" i="42" l="1"/>
  <c r="D17" i="42" l="1"/>
  <c r="D18" i="42" l="1"/>
  <c r="D19" i="42" l="1"/>
  <c r="D20" i="42" l="1"/>
  <c r="D21" i="42"/>
  <c r="D22" i="42" l="1"/>
  <c r="K7" i="42"/>
  <c r="K4" i="42" l="1"/>
  <c r="D23" i="42"/>
  <c r="K9" i="42"/>
  <c r="D24" i="42" l="1"/>
  <c r="D25" i="42" s="1"/>
  <c r="K11" i="42"/>
  <c r="K8" i="42" l="1"/>
  <c r="K2" i="42"/>
  <c r="K10" i="42"/>
  <c r="K6" i="42"/>
  <c r="J17" i="42" l="1"/>
  <c r="I17"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9D96AB-4C0D-4AA9-9824-B466F020161A}" keepAlive="1" name="Query - All_Commodities" description="Connection to the 'All_Commodities' query in the workbook." type="5" refreshedVersion="7" background="1" saveData="1">
    <dbPr connection="Provider=Microsoft.Mashup.OleDb.1;Data Source=$Workbook$;Location=All_Commodities;Extended Properties=&quot;&quot;" command="SELECT * FROM [All_Commodities]"/>
  </connection>
  <connection id="2" xr16:uid="{2B8B060C-CAD4-4315-834E-B8B63F98EE82}" keepAlive="1" name="Query - Coffee_Prices" description="Connection to the 'Coffee_Prices' query in the workbook." type="5" refreshedVersion="7" background="1" saveData="1">
    <dbPr connection="Provider=Microsoft.Mashup.OleDb.1;Data Source=$Workbook$;Location=Coffee_Prices;Extended Properties=&quot;&quot;" command="SELECT * FROM [Coffee_Prices]"/>
  </connection>
  <connection id="3" xr16:uid="{FBB7436B-647C-4610-A892-7291858955E9}" keepAlive="1" name="Query - Copper_Prices" description="Connection to the 'Copper_Prices' query in the workbook." type="5" refreshedVersion="7" background="1" saveData="1">
    <dbPr connection="Provider=Microsoft.Mashup.OleDb.1;Data Source=$Workbook$;Location=Copper_Prices;Extended Properties=&quot;&quot;" command="SELECT * FROM [Copper_Prices]"/>
  </connection>
  <connection id="4" xr16:uid="{BF3C27F4-AA48-45FD-926E-1A65A5814CFE}" keepAlive="1" name="Query - Corn_Prices" description="Connection to the 'Corn_Prices' query in the workbook." type="5" refreshedVersion="7" background="1" saveData="1">
    <dbPr connection="Provider=Microsoft.Mashup.OleDb.1;Data Source=$Workbook$;Location=Corn_Prices;Extended Properties=&quot;&quot;" command="SELECT * FROM [Corn_Prices]"/>
  </connection>
  <connection id="5" xr16:uid="{38E7C829-BCEC-4518-9C8C-5E70D7EEB76C}" keepAlive="1" name="Query - Cotton_Prices" description="Connection to the 'Cotton_Prices' query in the workbook." type="5" refreshedVersion="7" background="1" saveData="1">
    <dbPr connection="Provider=Microsoft.Mashup.OleDb.1;Data Source=$Workbook$;Location=Cotton_Prices;Extended Properties=&quot;&quot;" command="SELECT * FROM [Cotton_Prices]"/>
  </connection>
  <connection id="6" xr16:uid="{8C953750-D608-4BFC-80D0-9BC29FA8632F}" keepAlive="1" name="Query - DimYear(1)" description="Connection to the 'DimYear' query in the workbook." type="5" refreshedVersion="7" background="1" saveData="1">
    <dbPr connection="Provider=Microsoft.Mashup.OleDb.1;Data Source=$Workbook$;Location=DimYear;Extended Properties=&quot;&quot;" command="SELECT * FROM [DimYear]"/>
  </connection>
  <connection id="7" xr16:uid="{E3307D38-48FC-412B-8E07-A02F4714066A}" keepAlive="1" name="Query - Lumber_Prices" description="Connection to the 'Lumber_Prices' query in the workbook." type="5" refreshedVersion="7" background="1" saveData="1">
    <dbPr connection="Provider=Microsoft.Mashup.OleDb.1;Data Source=$Workbook$;Location=Lumber_Prices;Extended Properties=&quot;&quot;" command="SELECT * FROM [Lumber_Prices]"/>
  </connection>
  <connection id="8" xr16:uid="{86D4977D-B695-4D23-8A16-B116CCA5BC48}" name="Query - Measures" description="Connection to the 'Measures' query in the workbook." type="100" refreshedVersion="7" minRefreshableVersion="5">
    <extLst>
      <ext xmlns:x15="http://schemas.microsoft.com/office/spreadsheetml/2010/11/main" uri="{DE250136-89BD-433C-8126-D09CA5730AF9}">
        <x15:connection id="c3d998e6-8169-49c9-90cc-60f320fee98c">
          <x15:oledbPr connection="Provider=Microsoft.Mashup.OleDb.1;Data Source=$Workbook$;Location=Measures;Extended Properties=&quot;&quot;">
            <x15:dbTables>
              <x15:dbTable name="Measures"/>
            </x15:dbTables>
          </x15:oledbPr>
        </x15:connection>
      </ext>
    </extLst>
  </connection>
  <connection id="9" xr16:uid="{D22D6092-8C27-4885-85D1-F8C8FFAE0ABC}" keepAlive="1" name="Query - Oats_Prices" description="Connection to the 'Oats_Prices' query in the workbook." type="5" refreshedVersion="7" background="1" saveData="1">
    <dbPr connection="Provider=Microsoft.Mashup.OleDb.1;Data Source=$Workbook$;Location=Oats_Prices;Extended Properties=&quot;&quot;" command="SELECT * FROM [Oats_Prices]"/>
  </connection>
  <connection id="10" xr16:uid="{7909CC44-BD9E-4DB7-8FC1-8794BED3F912}" keepAlive="1" name="Query - Soybean_Oil_Prices" description="Connection to the 'Soybean_Oil_Prices' query in the workbook." type="5" refreshedVersion="7" background="1" saveData="1">
    <dbPr connection="Provider=Microsoft.Mashup.OleDb.1;Data Source=$Workbook$;Location=Soybean_Oil_Prices;Extended Properties=&quot;&quot;" command="SELECT * FROM [Soybean_Oil_Prices]"/>
  </connection>
  <connection id="11" xr16:uid="{9D5224F6-5D9E-4399-B57C-B65C04932BFD}" keepAlive="1" name="Query - Soybean_Prices" description="Connection to the 'Soybean_Prices' query in the workbook." type="5" refreshedVersion="7" background="1" saveData="1">
    <dbPr connection="Provider=Microsoft.Mashup.OleDb.1;Data Source=$Workbook$;Location=Soybean_Prices;Extended Properties=&quot;&quot;" command="SELECT * FROM [Soybean_Prices]"/>
  </connection>
  <connection id="12" xr16:uid="{FB6A3051-28EB-412B-BB73-1E4F6F5FE900}" keepAlive="1" name="Query - Sugar_Prices" description="Connection to the 'Sugar_Prices' query in the workbook." type="5" refreshedVersion="7" background="1" saveData="1">
    <dbPr connection="Provider=Microsoft.Mashup.OleDb.1;Data Source=$Workbook$;Location=Sugar_Prices;Extended Properties=&quot;&quot;" command="SELECT * FROM [Sugar_Prices]"/>
  </connection>
  <connection id="13" xr16:uid="{D7F58BC2-E2D3-4567-A140-9446A4F28881}" keepAlive="1" name="Query - Wheat_Prices" description="Connection to the 'Wheat_Prices' query in the workbook." type="5" refreshedVersion="7" background="1" saveData="1">
    <dbPr connection="Provider=Microsoft.Mashup.OleDb.1;Data Source=$Workbook$;Location=Wheat_Prices;Extended Properties=&quot;&quot;" command="SELECT * FROM [Wheat_Prices]"/>
  </connection>
  <connection id="14" xr16:uid="{6B84B3B4-DE29-4C8C-BB54-C7CF82CE66A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5" xr16:uid="{C3789F8B-48DA-4DD0-932B-BD64635834E0}" name="WorksheetConnection_Commodities Project.xlsx!All_Commodities" type="102" refreshedVersion="7" minRefreshableVersion="5">
    <extLst>
      <ext xmlns:x15="http://schemas.microsoft.com/office/spreadsheetml/2010/11/main" uri="{DE250136-89BD-433C-8126-D09CA5730AF9}">
        <x15:connection id="All_Commodities">
          <x15:rangePr sourceName="_xlcn.WorksheetConnection_CommoditiesProject.xlsxAll_Commodities1"/>
        </x15:connection>
      </ext>
    </extLst>
  </connection>
  <connection id="16" xr16:uid="{4A7B363C-5E38-446C-BCDD-A3BE2229E8AF}" name="WorksheetConnection_Commodities Project.xlsx!DimYear" type="102" refreshedVersion="7" minRefreshableVersion="5">
    <extLst>
      <ext xmlns:x15="http://schemas.microsoft.com/office/spreadsheetml/2010/11/main" uri="{DE250136-89BD-433C-8126-D09CA5730AF9}">
        <x15:connection id="DimYear">
          <x15:rangePr sourceName="_xlcn.WorksheetConnection_CommoditiesProject.xlsxDimYea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<sst xmlns="http://schemas.openxmlformats.org/spreadsheetml/2006/main" count="1907" uniqueCount="651">
  <si>
    <t>Id</t>
  </si>
  <si>
    <t>Year</t>
  </si>
  <si>
    <t>Average_Closing_price</t>
  </si>
  <si>
    <t>Year_Open</t>
  </si>
  <si>
    <t>Year_High</t>
  </si>
  <si>
    <t>Year_Low</t>
  </si>
  <si>
    <t>Year_Close</t>
  </si>
  <si>
    <t>Annual_Change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</si>
  <si>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</si>
  <si>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</si>
  <si>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</si>
  <si>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</si>
  <si>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</si>
  <si>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</si>
  <si>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</si>
  <si>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</si>
  <si>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</si>
  <si>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</si>
  <si>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</si>
  <si>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</si>
  <si>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</si>
  <si>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</si>
  <si>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</si>
  <si>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</si>
  <si>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</si>
  <si>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</si>
  <si>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</si>
  <si>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</si>
  <si>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</si>
  <si>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</si>
  <si>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</si>
  <si>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</si>
  <si>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</si>
  <si>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</si>
  <si>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</si>
  <si>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</si>
  <si>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</si>
  <si>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</si>
  <si>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</si>
  <si>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</si>
  <si>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</si>
  <si>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</si>
  <si>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</si>
  <si>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</si>
  <si>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</si>
  <si>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</si>
  <si>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</si>
  <si>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</si>
  <si>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</si>
  <si>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</si>
  <si>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</si>
  <si>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</si>
  <si>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</si>
  <si>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</si>
  <si>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</si>
  <si>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</si>
  <si>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</si>
  <si>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</si>
  <si>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</si>
  <si>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</si>
  <si>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</si>
  <si>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</si>
  <si>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</si>
  <si>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</si>
  <si>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</si>
  <si>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</si>
  <si>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</si>
  <si>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</si>
  <si>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</si>
  <si>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</si>
  <si>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</si>
  <si>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</si>
  <si>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Grand Total</t>
  </si>
  <si>
    <t>Coffee</t>
  </si>
  <si>
    <t>Lumber</t>
  </si>
  <si>
    <t>Cotton</t>
  </si>
  <si>
    <t>Oats</t>
  </si>
  <si>
    <t>Soybean</t>
  </si>
  <si>
    <t>Soybean Oil</t>
  </si>
  <si>
    <t>Sugar</t>
  </si>
  <si>
    <t>Corn</t>
  </si>
  <si>
    <t>Wheat</t>
  </si>
  <si>
    <t>Copper</t>
  </si>
  <si>
    <t>Average Opening Price</t>
  </si>
  <si>
    <t>Average Closing Price</t>
  </si>
  <si>
    <t>Average High Price</t>
  </si>
  <si>
    <t>Average Low Price</t>
  </si>
  <si>
    <t>Highest Price</t>
  </si>
  <si>
    <t>Lowest Price</t>
  </si>
  <si>
    <t>Annual Change %</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</si>
  <si>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</si>
  <si>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</si>
  <si>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</si>
  <si>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</si>
  <si>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</si>
  <si>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</si>
  <si>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</si>
  <si>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</si>
  <si>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</si>
  <si>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</si>
  <si>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</si>
  <si>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</si>
  <si>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</si>
  <si>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</si>
  <si>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</si>
  <si>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</si>
  <si>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</si>
  <si>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</si>
  <si>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</si>
  <si>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</si>
  <si>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</si>
  <si>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</si>
  <si>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</si>
  <si>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</si>
  <si>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</si>
  <si>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</si>
  <si>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</si>
  <si>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</si>
  <si>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</si>
  <si>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</si>
  <si>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</si>
  <si>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</si>
  <si>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</si>
  <si>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</si>
  <si>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</si>
  <si>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</si>
  <si>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</si>
  <si>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</si>
  <si>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</si>
  <si>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</si>
  <si>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</si>
  <si>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</si>
  <si>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</si>
  <si>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</si>
  <si>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</si>
  <si>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</si>
  <si>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</si>
  <si>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</si>
  <si>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</si>
  <si>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</si>
  <si>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</si>
  <si>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</si>
  <si>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</si>
  <si>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</si>
  <si>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</si>
  <si>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</si>
  <si>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</si>
  <si>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</si>
  <si>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</si>
  <si>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</si>
  <si>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</si>
  <si>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</si>
  <si>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</si>
  <si>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</si>
  <si>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</si>
  <si>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</si>
  <si>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</si>
  <si>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</si>
  <si>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</si>
  <si>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</si>
  <si>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</si>
  <si>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</si>
  <si>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</si>
  <si>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</si>
  <si>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</si>
  <si>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</si>
  <si>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</si>
  <si>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</si>
  <si>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</si>
  <si>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</si>
  <si>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</si>
  <si>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</si>
  <si>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</si>
  <si>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</si>
  <si>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</si>
  <si>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</si>
  <si>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</si>
  <si>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</si>
  <si>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</si>
  <si>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</si>
  <si>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</si>
  <si>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</si>
  <si>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</si>
  <si>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</si>
  <si>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</si>
  <si>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</si>
  <si>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</si>
  <si>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</si>
  <si>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</si>
  <si>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</si>
  <si>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</si>
  <si>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</si>
  <si>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</si>
  <si>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</si>
  <si>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</si>
  <si>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</si>
  <si>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</si>
  <si>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</si>
  <si>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</si>
  <si>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</si>
  <si>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</si>
  <si>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</si>
  <si>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</si>
  <si>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</si>
  <si>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</si>
  <si>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</si>
  <si>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</si>
  <si>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</si>
  <si>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</si>
  <si>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</si>
  <si>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</si>
  <si>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</si>
  <si>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</si>
  <si>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</si>
  <si>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</si>
  <si>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</si>
  <si>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</si>
  <si>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</si>
  <si>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</si>
  <si>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</si>
  <si>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</si>
  <si>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</si>
  <si>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</si>
  <si>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</si>
  <si>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</si>
  <si>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</si>
  <si>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</si>
  <si>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</si>
  <si>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</si>
  <si>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</si>
  <si>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</si>
  <si>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</si>
  <si>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</si>
  <si>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</si>
  <si>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</si>
  <si>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</si>
  <si>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</si>
  <si>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</si>
  <si>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</si>
  <si>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</si>
  <si>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</si>
  <si>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</si>
  <si>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</si>
  <si>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</si>
  <si>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</si>
  <si>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</si>
  <si>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</si>
  <si>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</si>
  <si>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</si>
  <si>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</si>
  <si>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</si>
  <si>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</si>
  <si>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</si>
  <si>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</si>
  <si>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</si>
  <si>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</si>
  <si>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</si>
  <si>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</si>
  <si>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</si>
  <si>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</si>
  <si>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</si>
  <si>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</si>
  <si>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</si>
  <si>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</si>
  <si>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</si>
  <si>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</si>
  <si>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</si>
  <si>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</si>
  <si>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</si>
  <si>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</si>
  <si>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</si>
  <si>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</si>
  <si>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</si>
  <si>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</si>
  <si>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</si>
  <si>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</si>
  <si>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</si>
  <si>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</si>
  <si>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</si>
  <si>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</si>
  <si>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</si>
  <si>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</si>
  <si>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</si>
  <si>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</si>
  <si>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</si>
  <si>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</si>
  <si>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</si>
  <si>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</si>
  <si>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</si>
  <si>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</si>
  <si>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</si>
  <si>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</si>
  <si>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</si>
  <si>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</si>
  <si>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</si>
  <si>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</si>
  <si>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</si>
  <si>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</si>
  <si>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</si>
  <si>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</si>
  <si>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</si>
  <si>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</si>
  <si>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</si>
  <si>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</si>
  <si>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</si>
  <si>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</si>
  <si>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</si>
  <si>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</si>
  <si>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</si>
  <si>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</si>
  <si>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</si>
  <si>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</si>
  <si>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</si>
  <si>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</si>
  <si>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</si>
  <si>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</si>
  <si>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</si>
  <si>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</si>
  <si>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</si>
  <si>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</si>
  <si>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</si>
  <si>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</si>
  <si>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</si>
  <si>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</si>
  <si>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</si>
  <si>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</si>
  <si>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</si>
  <si>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</si>
  <si>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</si>
  <si>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</si>
  <si>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</si>
  <si>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</si>
  <si>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</si>
  <si>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</si>
  <si>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</si>
  <si>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</si>
  <si>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</si>
  <si>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</si>
  <si>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</si>
  <si>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</si>
  <si>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</si>
  <si>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</si>
  <si>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</si>
  <si>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</si>
  <si>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</si>
  <si>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</si>
  <si>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</si>
  <si>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</si>
  <si>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</si>
  <si>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</si>
  <si>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</si>
  <si>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</si>
  <si>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</si>
  <si>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</si>
  <si>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</si>
  <si>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</si>
  <si>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</si>
  <si>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</si>
  <si>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</si>
  <si>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</si>
  <si>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</si>
  <si>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</si>
  <si>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</si>
  <si>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</si>
  <si>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</si>
  <si>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</si>
  <si>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</si>
  <si>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</si>
  <si>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</si>
  <si>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</si>
  <si>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</si>
  <si>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</si>
  <si>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</si>
  <si>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</si>
  <si>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</si>
  <si>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</si>
  <si>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</si>
  <si>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</si>
  <si>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</si>
  <si>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</si>
  <si>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</si>
  <si>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</si>
  <si>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</si>
  <si>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</si>
  <si>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</si>
  <si>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</si>
  <si>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</si>
  <si>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</si>
  <si>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</si>
  <si>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</si>
  <si>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</si>
  <si>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</si>
  <si>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</si>
  <si>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</si>
  <si>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</si>
  <si>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</si>
  <si>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</si>
  <si>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</si>
  <si>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</si>
  <si>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</si>
  <si>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</si>
  <si>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</si>
  <si>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</si>
  <si>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</si>
  <si>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</si>
  <si>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</si>
  <si>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</si>
  <si>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</si>
  <si>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</si>
  <si>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</si>
  <si>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</si>
  <si>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</si>
  <si>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</si>
  <si>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</si>
  <si>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</si>
  <si>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</si>
  <si>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</si>
  <si>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</si>
  <si>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</si>
  <si>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</si>
  <si>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</si>
  <si>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</si>
  <si>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</si>
  <si>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</si>
  <si>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</si>
  <si>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</si>
  <si>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</si>
  <si>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</si>
  <si>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</si>
  <si>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</si>
  <si>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</si>
  <si>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</si>
  <si>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</si>
  <si>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</si>
  <si>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</si>
  <si>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</si>
  <si>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</si>
  <si>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</si>
  <si>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</si>
  <si>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</si>
  <si>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</si>
  <si>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</si>
  <si>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</si>
  <si>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</si>
  <si>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</si>
  <si>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</si>
  <si>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</si>
  <si>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</si>
  <si>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</si>
  <si>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</si>
  <si>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</si>
  <si>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</si>
  <si>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</si>
  <si>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</si>
  <si>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</si>
  <si>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</si>
  <si>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</si>
  <si>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</si>
  <si>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</si>
  <si>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</si>
  <si>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</si>
  <si>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</si>
  <si>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</si>
  <si>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</si>
  <si>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</si>
  <si>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</si>
  <si>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</si>
  <si>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</si>
  <si>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</si>
  <si>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</si>
  <si>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</si>
  <si>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</si>
  <si>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</si>
  <si>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</si>
  <si>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</si>
  <si>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</si>
  <si>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</si>
  <si>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</si>
  <si>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</si>
  <si>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</si>
  <si>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</si>
  <si>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</si>
  <si>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</si>
  <si>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</si>
  <si>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</si>
  <si>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</si>
  <si>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</si>
  <si>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</si>
  <si>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</si>
  <si>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</si>
  <si>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</si>
  <si>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</si>
  <si>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</si>
  <si>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</si>
  <si>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</si>
  <si>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</si>
  <si>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</si>
  <si>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</si>
  <si>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</si>
  <si>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</si>
  <si>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</si>
  <si>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</si>
  <si>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</si>
  <si>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</si>
  <si>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</si>
  <si>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</si>
  <si>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</si>
  <si>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</si>
  <si>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</si>
  <si>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</si>
  <si>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</si>
  <si>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</si>
  <si>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</si>
  <si>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</si>
  <si>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</si>
  <si>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</si>
  <si>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</si>
  <si>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</si>
  <si>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</si>
  <si>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</si>
  <si>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</si>
  <si>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</si>
  <si>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</si>
  <si>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</si>
  <si>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</si>
  <si>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</si>
  <si>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</si>
  <si>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</si>
  <si>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</si>
  <si>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</si>
  <si>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</si>
  <si>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</si>
  <si>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</si>
  <si>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</si>
  <si>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</si>
  <si>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</si>
  <si>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</si>
  <si>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</si>
  <si>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</si>
  <si>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</si>
  <si>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</si>
  <si>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</si>
  <si>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</si>
  <si>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</si>
  <si>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</si>
  <si>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</si>
  <si>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</si>
  <si>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</si>
  <si>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</si>
  <si>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</si>
  <si>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</si>
  <si>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</si>
  <si>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</si>
  <si>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</si>
  <si>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</si>
  <si>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</si>
  <si>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</si>
  <si>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</si>
  <si>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</si>
  <si>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</si>
  <si>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</si>
  <si>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</si>
  <si>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</si>
  <si>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</si>
  <si>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</si>
  <si>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</si>
  <si>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</si>
  <si>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</si>
  <si>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</si>
  <si>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</si>
  <si>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</si>
  <si>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</si>
  <si>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</si>
  <si>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</si>
  <si>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</si>
  <si>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</si>
  <si>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</si>
  <si>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</si>
  <si>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</si>
  <si>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</si>
  <si>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</si>
  <si>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</si>
  <si>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</si>
  <si>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</si>
  <si>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</si>
  <si>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</si>
  <si>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</si>
  <si>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</si>
  <si>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</si>
  <si>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</si>
  <si>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</si>
  <si>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</si>
  <si>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</si>
  <si>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</si>
  <si>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</si>
  <si>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</si>
  <si>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</si>
  <si>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</si>
  <si>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</si>
  <si>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</si>
  <si>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</si>
  <si>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</si>
  <si>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</si>
  <si>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</si>
  <si>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</si>
  <si>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</si>
  <si>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</si>
  <si>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</si>
  <si>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</si>
  <si>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</si>
  <si>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</si>
  <si>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</si>
  <si>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Commodity</t>
  </si>
  <si>
    <r>
      <t xml:space="preserve">Commodities Market Analysis Report </t>
    </r>
    <r>
      <rPr>
        <b/>
        <sz val="14"/>
        <color theme="1"/>
        <rFont val="Times New Roman"/>
        <family val="1"/>
      </rPr>
      <t>(1960 - 2024)</t>
    </r>
  </si>
  <si>
    <t>Average OHLC</t>
  </si>
  <si>
    <t>Average Commodity Price</t>
  </si>
  <si>
    <t>Total Commodities</t>
  </si>
  <si>
    <t>Row Labels</t>
  </si>
  <si>
    <t>Growth Status</t>
  </si>
  <si>
    <t>Positive Growth</t>
  </si>
  <si>
    <t>Negative Growth</t>
  </si>
  <si>
    <t>Annual Range %</t>
  </si>
  <si>
    <t>Average Annual Change %</t>
  </si>
  <si>
    <t>Commodities</t>
  </si>
  <si>
    <t>Latest Year</t>
  </si>
  <si>
    <t>Average Annual Range %</t>
  </si>
  <si>
    <t>Total Years</t>
  </si>
  <si>
    <t>Growth Years</t>
  </si>
  <si>
    <t>Decline Years</t>
  </si>
  <si>
    <t>Growth Years %</t>
  </si>
  <si>
    <t>Decline Years %</t>
  </si>
  <si>
    <t>Average Annual Price Range %</t>
  </si>
  <si>
    <t>Scatter Plot in Page -2</t>
  </si>
  <si>
    <t>Commodities ranked by average annual range %</t>
  </si>
  <si>
    <t>Executive Overview</t>
  </si>
  <si>
    <t>2nd page</t>
  </si>
  <si>
    <t>Best Year %</t>
  </si>
  <si>
    <t>Best Year</t>
  </si>
  <si>
    <t>Worst Year</t>
  </si>
  <si>
    <t>Worst Year %</t>
  </si>
  <si>
    <t>Growth Streak</t>
  </si>
  <si>
    <t>Decline Streak</t>
  </si>
  <si>
    <t>Longest Growth Streak</t>
  </si>
  <si>
    <t>Longest Decline Streak</t>
  </si>
  <si>
    <t>Risk Level</t>
  </si>
  <si>
    <t>🔴 High Risk</t>
  </si>
  <si>
    <t>🟢 Stable</t>
  </si>
  <si>
    <t>🟡 Moderate</t>
  </si>
  <si>
    <t>Stable</t>
  </si>
  <si>
    <t>Moderate</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</si>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</sst>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0.0%"/>
    <numFmt numFmtId="166" formatCode="&quot;$&quot;#,##0.0"/>
    <numFmt numFmtId="167" formatCode="\$#,##0.00;\(\$#,##0.00\);\$#,##0.00"/>
    <numFmt numFmtId="168" formatCode="0.0%;\-0.0%;0.0%"/>
    <numFmt numFmtId="169" formatCode="0.00%;\-0.00%;0.00%"/>
  </numFmts>
  <fonts count="8" x14ac:knownFonts="1">
    <font>
      <sz val="11"/>
      <color theme="1"/>
      <name val="Calibri"/>
      <family val="2"/>
      <scheme val="minor"/>
    </font>
    <font>
      <sz val="8"/>
      <name val="Calibri"/>
      <family val="2"/>
      <scheme val="minor"/>
    </font>
    <font>
      <b/>
      <sz val="20"/>
      <color theme="1"/>
      <name val="Times New Roman"/>
      <family val="1"/>
    </font>
    <font>
      <b/>
      <sz val="14"/>
      <color theme="1"/>
      <name val="Times New Roman"/>
      <family val="1"/>
    </font>
    <font>
      <u/>
      <sz val="11"/>
      <color theme="10"/>
      <name val="Calibri"/>
      <family val="2"/>
      <scheme val="minor"/>
    </font>
    <font>
      <b/>
      <sz val="11"/>
      <color theme="1"/>
      <name val="Calibri"/>
      <family val="2"/>
      <scheme val="minor"/>
    </font>
    <font>
      <b/>
      <sz val="18"/>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rgb="FF1A659E"/>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0" fillId="0" borderId="0" xfId="0" applyNumberFormat="1"/>
    <xf numFmtId="164" fontId="0" fillId="0" borderId="0" xfId="0" applyNumberFormat="1"/>
    <xf numFmtId="10" fontId="0" fillId="0" borderId="0" xfId="0" applyNumberFormat="1"/>
    <xf numFmtId="165"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66" fontId="0" fillId="0" borderId="0" xfId="0" applyNumberFormat="1"/>
    <xf numFmtId="0" fontId="0" fillId="0" borderId="0" xfId="0" pivotButton="1"/>
    <xf numFmtId="167" fontId="0" fillId="0" borderId="0" xfId="0" applyNumberFormat="1"/>
    <xf numFmtId="167" fontId="0" fillId="0" borderId="0" xfId="0" applyNumberFormat="1" applyAlignment="1">
      <alignment horizontal="center" vertical="center"/>
    </xf>
    <xf numFmtId="168" fontId="0" fillId="0" borderId="0" xfId="0" applyNumberFormat="1"/>
    <xf numFmtId="168" fontId="0" fillId="0" borderId="0" xfId="0" applyNumberFormat="1" applyAlignment="1">
      <alignment horizontal="center" vertical="center"/>
    </xf>
    <xf numFmtId="169" fontId="0" fillId="0" borderId="0" xfId="0" applyNumberFormat="1"/>
    <xf numFmtId="0" fontId="0" fillId="3" borderId="0" xfId="0" applyFill="1"/>
    <xf numFmtId="0" fontId="0" fillId="0" borderId="0" xfId="0" applyAlignment="1">
      <alignment horizontal="left"/>
    </xf>
    <xf numFmtId="0" fontId="4" fillId="3" borderId="0" xfId="1" quotePrefix="1" applyFill="1"/>
    <xf numFmtId="0" fontId="5" fillId="4" borderId="1" xfId="0" applyFont="1" applyFill="1" applyBorder="1"/>
    <xf numFmtId="0" fontId="5" fillId="0" borderId="0" xfId="0" applyFont="1"/>
    <xf numFmtId="0" fontId="5" fillId="4" borderId="2" xfId="0" applyFont="1" applyFill="1" applyBorder="1" applyAlignment="1">
      <alignment horizontal="left"/>
    </xf>
    <xf numFmtId="0" fontId="7" fillId="0" borderId="0" xfId="0" applyFont="1" applyAlignment="1">
      <alignment horizontal="center" vertical="center"/>
    </xf>
    <xf numFmtId="0" fontId="6" fillId="0" borderId="0" xfId="0" applyFont="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center"/>
    </xf>
  </cellXfs>
  <cellStyles count="2">
    <cellStyle name="Hyperlink" xfId="1" builtinId="8"/>
    <cellStyle name="Normal" xfId="0" builtinId="0"/>
  </cellStyles>
  <dxfs count="18">
    <dxf>
      <numFmt numFmtId="165" formatCode="0.0%"/>
    </dxf>
    <dxf>
      <numFmt numFmtId="0" formatCode="General"/>
    </dxf>
    <dxf>
      <numFmt numFmtId="164" formatCode="&quot;$&quot;#,##0.00"/>
    </dxf>
    <dxf>
      <numFmt numFmtId="165" formatCode="0.0%"/>
    </dxf>
    <dxf>
      <numFmt numFmtId="166" formatCode="&quot;$&quot;#,##0.0"/>
    </dxf>
    <dxf>
      <numFmt numFmtId="166" formatCode="&quot;$&quot;#,##0.0"/>
    </dxf>
    <dxf>
      <numFmt numFmtId="166" formatCode="&quot;$&quot;#,##0.0"/>
    </dxf>
    <dxf>
      <numFmt numFmtId="166" formatCode="&quot;$&quot;#,##0.0"/>
    </dxf>
    <dxf>
      <numFmt numFmtId="166" formatCode="&quot;$&quot;#,##0.0"/>
    </dxf>
    <dxf>
      <numFmt numFmtId="0" formatCode="General"/>
    </dxf>
    <dxf>
      <numFmt numFmtId="0" formatCode="General"/>
    </dxf>
    <dxf>
      <alignment vertical="center"/>
    </dxf>
    <dxf>
      <alignment vertical="center"/>
    </dxf>
    <dxf>
      <alignment horizontal="center"/>
    </dxf>
    <dxf>
      <alignment horizontal="center"/>
    </dxf>
    <dxf>
      <font>
        <b/>
        <i val="0"/>
      </font>
      <fill>
        <patternFill>
          <bgColor rgb="FF00B050"/>
        </patternFill>
      </fill>
    </dxf>
    <dxf>
      <font>
        <b/>
        <i val="0"/>
      </font>
      <fill>
        <patternFill>
          <bgColor rgb="FFFFFF00"/>
        </patternFill>
      </fill>
    </dxf>
    <dxf>
      <font>
        <b/>
        <i val="0"/>
      </font>
      <fill>
        <patternFill>
          <bgColor rgb="FFC00000"/>
        </patternFill>
      </fill>
    </dxf>
  </dxfs>
  <tableStyles count="0" defaultTableStyle="TableStyleMedium2" defaultPivotStyle="PivotStyleLight16"/>
  <colors>
    <mruColors>
      <color rgb="FF1A659E"/>
      <color rgb="FF203864"/>
      <color rgb="FF0304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62.xml"/><Relationship Id="rId21" Type="http://schemas.openxmlformats.org/officeDocument/2006/relationships/worksheet" Target="worksheets/sheet21.xml"/><Relationship Id="rId42" Type="http://schemas.microsoft.com/office/2007/relationships/slicerCache" Target="slicerCaches/slicerCache1.xml"/><Relationship Id="rId47" Type="http://schemas.microsoft.com/office/2007/relationships/slicerCache" Target="slicerCaches/slicerCache6.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12" Type="http://schemas.openxmlformats.org/officeDocument/2006/relationships/customXml" Target="../customXml/item57.xml"/><Relationship Id="rId16" Type="http://schemas.openxmlformats.org/officeDocument/2006/relationships/worksheet" Target="worksheets/sheet16.xml"/><Relationship Id="rId107" Type="http://schemas.openxmlformats.org/officeDocument/2006/relationships/customXml" Target="../customXml/item52.xml"/><Relationship Id="rId11" Type="http://schemas.openxmlformats.org/officeDocument/2006/relationships/worksheet" Target="worksheets/sheet11.xml"/><Relationship Id="rId32" Type="http://schemas.openxmlformats.org/officeDocument/2006/relationships/pivotCacheDefinition" Target="pivotCache/pivotCacheDefinition6.xml"/><Relationship Id="rId37" Type="http://schemas.openxmlformats.org/officeDocument/2006/relationships/pivotCacheDefinition" Target="pivotCache/pivotCacheDefinition11.xml"/><Relationship Id="rId53" Type="http://schemas.openxmlformats.org/officeDocument/2006/relationships/sheetMetadata" Target="metadata.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43" Type="http://schemas.microsoft.com/office/2007/relationships/slicerCache" Target="slicerCaches/slicerCache2.xml"/><Relationship Id="rId48" Type="http://schemas.microsoft.com/office/2007/relationships/slicerCache" Target="slicerCaches/slicerCache7.xml"/><Relationship Id="rId64" Type="http://schemas.openxmlformats.org/officeDocument/2006/relationships/customXml" Target="../customXml/item9.xml"/><Relationship Id="rId69" Type="http://schemas.openxmlformats.org/officeDocument/2006/relationships/customXml" Target="../customXml/item14.xml"/><Relationship Id="rId113" Type="http://schemas.openxmlformats.org/officeDocument/2006/relationships/customXml" Target="../customXml/item58.xml"/><Relationship Id="rId118" Type="http://schemas.openxmlformats.org/officeDocument/2006/relationships/customXml" Target="../customXml/item63.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7.xml"/><Relationship Id="rId38" Type="http://schemas.openxmlformats.org/officeDocument/2006/relationships/pivotCacheDefinition" Target="pivotCache/pivotCacheDefinition12.xml"/><Relationship Id="rId59" Type="http://schemas.openxmlformats.org/officeDocument/2006/relationships/customXml" Target="../customXml/item4.xml"/><Relationship Id="rId103" Type="http://schemas.openxmlformats.org/officeDocument/2006/relationships/customXml" Target="../customXml/item48.xml"/><Relationship Id="rId108" Type="http://schemas.openxmlformats.org/officeDocument/2006/relationships/customXml" Target="../customXml/item53.xml"/><Relationship Id="rId54" Type="http://schemas.openxmlformats.org/officeDocument/2006/relationships/powerPivotData" Target="model/item.data"/><Relationship Id="rId70" Type="http://schemas.openxmlformats.org/officeDocument/2006/relationships/customXml" Target="../customXml/item15.xml"/><Relationship Id="rId75" Type="http://schemas.openxmlformats.org/officeDocument/2006/relationships/customXml" Target="../customXml/item20.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49" Type="http://schemas.openxmlformats.org/officeDocument/2006/relationships/theme" Target="theme/theme1.xml"/><Relationship Id="rId114" Type="http://schemas.openxmlformats.org/officeDocument/2006/relationships/customXml" Target="../customXml/item59.xml"/><Relationship Id="rId119" Type="http://schemas.openxmlformats.org/officeDocument/2006/relationships/customXml" Target="../customXml/item64.xml"/><Relationship Id="rId10" Type="http://schemas.openxmlformats.org/officeDocument/2006/relationships/worksheet" Target="worksheets/sheet10.xml"/><Relationship Id="rId31" Type="http://schemas.openxmlformats.org/officeDocument/2006/relationships/pivotCacheDefinition" Target="pivotCache/pivotCacheDefinition5.xml"/><Relationship Id="rId44" Type="http://schemas.microsoft.com/office/2007/relationships/slicerCache" Target="slicerCaches/slicerCache3.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3.xml"/><Relationship Id="rId109" Type="http://schemas.openxmlformats.org/officeDocument/2006/relationships/customXml" Target="../customXml/item54.xml"/><Relationship Id="rId34" Type="http://schemas.openxmlformats.org/officeDocument/2006/relationships/pivotCacheDefinition" Target="pivotCache/pivotCacheDefinition8.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120" Type="http://schemas.openxmlformats.org/officeDocument/2006/relationships/customXml" Target="../customXml/item65.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3.xml"/><Relationship Id="rId24" Type="http://schemas.openxmlformats.org/officeDocument/2006/relationships/worksheet" Target="worksheets/sheet24.xml"/><Relationship Id="rId40" Type="http://schemas.openxmlformats.org/officeDocument/2006/relationships/pivotCacheDefinition" Target="pivotCache/pivotCacheDefinition14.xml"/><Relationship Id="rId45" Type="http://schemas.microsoft.com/office/2007/relationships/slicerCache" Target="slicerCaches/slicerCache4.xml"/><Relationship Id="rId66" Type="http://schemas.openxmlformats.org/officeDocument/2006/relationships/customXml" Target="../customXml/item11.xml"/><Relationship Id="rId87" Type="http://schemas.openxmlformats.org/officeDocument/2006/relationships/customXml" Target="../customXml/item32.xml"/><Relationship Id="rId110" Type="http://schemas.openxmlformats.org/officeDocument/2006/relationships/customXml" Target="../customXml/item55.xml"/><Relationship Id="rId115" Type="http://schemas.openxmlformats.org/officeDocument/2006/relationships/customXml" Target="../customXml/item60.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4.xml"/><Relationship Id="rId35" Type="http://schemas.openxmlformats.org/officeDocument/2006/relationships/pivotCacheDefinition" Target="pivotCache/pivotCacheDefinition9.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worksheet" Target="worksheets/sheet25.xml"/><Relationship Id="rId46" Type="http://schemas.microsoft.com/office/2007/relationships/slicerCache" Target="slicerCaches/slicerCache5.xml"/><Relationship Id="rId67" Type="http://schemas.openxmlformats.org/officeDocument/2006/relationships/customXml" Target="../customXml/item12.xml"/><Relationship Id="rId116" Type="http://schemas.openxmlformats.org/officeDocument/2006/relationships/customXml" Target="../customXml/item61.xml"/><Relationship Id="rId20" Type="http://schemas.openxmlformats.org/officeDocument/2006/relationships/worksheet" Target="worksheets/sheet20.xml"/><Relationship Id="rId41" Type="http://schemas.openxmlformats.org/officeDocument/2006/relationships/pivotCacheDefinition" Target="pivotCache/pivotCacheDefinition15.xml"/><Relationship Id="rId62" Type="http://schemas.openxmlformats.org/officeDocument/2006/relationships/customXml" Target="../customXml/item7.xml"/><Relationship Id="rId83" Type="http://schemas.openxmlformats.org/officeDocument/2006/relationships/customXml" Target="../customXml/item28.xml"/><Relationship Id="rId88" Type="http://schemas.openxmlformats.org/officeDocument/2006/relationships/customXml" Target="../customXml/item33.xml"/><Relationship Id="rId111" Type="http://schemas.openxmlformats.org/officeDocument/2006/relationships/customXml" Target="../customXml/item56.xml"/><Relationship Id="rId15" Type="http://schemas.openxmlformats.org/officeDocument/2006/relationships/worksheet" Target="worksheets/sheet15.xml"/><Relationship Id="rId36" Type="http://schemas.openxmlformats.org/officeDocument/2006/relationships/pivotCacheDefinition" Target="pivotCache/pivotCacheDefinition10.xml"/><Relationship Id="rId57" Type="http://schemas.openxmlformats.org/officeDocument/2006/relationships/customXml" Target="../customXml/item2.xml"/><Relationship Id="rId106" Type="http://schemas.openxmlformats.org/officeDocument/2006/relationships/customXml" Target="../customXml/item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Project_Final.xlsx]Price Trend!PivotTable2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Commodity Price by Year (Last 10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Trend'!$B$1</c:f>
              <c:strCache>
                <c:ptCount val="1"/>
                <c:pt idx="0">
                  <c:v>Total</c:v>
                </c:pt>
              </c:strCache>
            </c:strRef>
          </c:tx>
          <c:spPr>
            <a:ln w="28575" cap="rnd">
              <a:solidFill>
                <a:schemeClr val="accent1"/>
              </a:solidFill>
              <a:round/>
            </a:ln>
            <a:effectLst/>
          </c:spPr>
          <c:marker>
            <c:symbol val="diamond"/>
            <c:size val="3"/>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'Price Trend'!$A$2:$A$13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'Price Trend'!$B$2:$B$13</c:f>
              <c:numCache>
                <c:formatCode>"$"#,##0.0</c:formatCode>
                <c:ptCount val="11"/>
                <c:pt idx="0">
                  <c:v>3.4872799999999997</c:v>
                </c:pt>
                <c:pt idx="1">
                  <c:v>2.9061699999999999</c:v>
                </c:pt>
                <c:pt idx="2">
                  <c:v>2.76152</c:v>
                </c:pt>
                <c:pt idx="3">
                  <c:v>2.97811</c:v>
                </c:pt>
                <c:pt idx="4">
                  <c:v>3.0133299999999998</c:v>
                </c:pt>
                <c:pt idx="5">
                  <c:v>2.96713</c:v>
                </c:pt>
                <c:pt idx="6">
                  <c:v>3.5362099999999996</c:v>
                </c:pt>
                <c:pt idx="7">
                  <c:v>4.9468699999999997</c:v>
                </c:pt>
                <c:pt idx="8">
                  <c:v>5.2301900000000003</c:v>
                </c:pt>
                <c:pt idx="9">
                  <c:v>4.3062199999999997</c:v>
                </c:pt>
                <c:pt idx="10">
                  <c:v>4.0405800000000003</c:v>
                </c:pt>
              </c:numCache>
            </c:numRef>
          </c:val>
          <c:smooth val="0"/>
          <c:extLst>
            <c:ext xmlns:c16="http://schemas.microsoft.com/office/drawing/2014/chart" uri="{C3380CC4-5D6E-409C-BE32-E72D297353CC}">
              <c16:uniqueId val="{00000004-2514-45F9-9621-E0829E055335}"/>
            </c:ext>
          </c:extLst>
        </c:ser>
        <c:dLbls>
          <c:dLblPos val="t"/>
          <c:showLegendKey val="0"/>
          <c:showVal val="1"/>
          <c:showCatName val="0"/>
          <c:showSerName val="0"/>
          <c:showPercent val="0"/>
          <c:showBubbleSize val="0"/>
        </c:dLbls>
        <c:marker val="1"/>
        <c:smooth val="0"/>
        <c:axId val="1341792767"/>
        <c:axId val="1341795679"/>
      </c:lineChart>
      <c:catAx>
        <c:axId val="1341792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95679"/>
        <c:crosses val="autoZero"/>
        <c:auto val="1"/>
        <c:lblAlgn val="ctr"/>
        <c:lblOffset val="100"/>
        <c:noMultiLvlLbl val="0"/>
      </c:catAx>
      <c:valAx>
        <c:axId val="134179567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crossAx val="134179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Trend!PivotTable9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Commodities by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Trend'!$B$1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Trend'!$A$2:$A$7</c:f>
              <c:strCache>
                <c:ptCount val="5"/>
                <c:pt idx="0">
                  <c:v>Soybean</c:v>
                </c:pt>
                <c:pt idx="1">
                  <c:v>Wheat</c:v>
                </c:pt>
                <c:pt idx="2">
                  <c:v>Lumber</c:v>
                </c:pt>
                <c:pt idx="3">
                  <c:v>Corn</c:v>
                </c:pt>
                <c:pt idx="4">
                  <c:v>Oats</c:v>
                </c:pt>
              </c:strCache>
            </c:strRef>
          </c:cat>
          <c:val>
            <c:numRef>
              <c:f>'Growth Trend'!$B$2:$B$7</c:f>
              <c:numCache>
                <c:formatCode>\$#,##0.00;\(\$#,##0.00\);\$#,##0.00</c:formatCode>
                <c:ptCount val="5"/>
                <c:pt idx="0">
                  <c:v>7.7920517857142855</c:v>
                </c:pt>
                <c:pt idx="1">
                  <c:v>4.0128661538461534</c:v>
                </c:pt>
                <c:pt idx="2">
                  <c:v>2.9758153846153848</c:v>
                </c:pt>
                <c:pt idx="3">
                  <c:v>2.9292769230769231</c:v>
                </c:pt>
                <c:pt idx="4">
                  <c:v>2.1544222222222222</c:v>
                </c:pt>
              </c:numCache>
            </c:numRef>
          </c:val>
          <c:extLst>
            <c:ext xmlns:c16="http://schemas.microsoft.com/office/drawing/2014/chart" uri="{C3380CC4-5D6E-409C-BE32-E72D297353CC}">
              <c16:uniqueId val="{00000000-263A-4794-8210-F366F10E673F}"/>
            </c:ext>
          </c:extLst>
        </c:ser>
        <c:dLbls>
          <c:dLblPos val="outEnd"/>
          <c:showLegendKey val="0"/>
          <c:showVal val="1"/>
          <c:showCatName val="0"/>
          <c:showSerName val="0"/>
          <c:showPercent val="0"/>
          <c:showBubbleSize val="0"/>
        </c:dLbls>
        <c:gapWidth val="219"/>
        <c:overlap val="-27"/>
        <c:axId val="1892496719"/>
        <c:axId val="1892496303"/>
      </c:barChart>
      <c:catAx>
        <c:axId val="189249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96303"/>
        <c:crosses val="autoZero"/>
        <c:auto val="1"/>
        <c:lblAlgn val="ctr"/>
        <c:lblOffset val="100"/>
        <c:noMultiLvlLbl val="0"/>
      </c:catAx>
      <c:valAx>
        <c:axId val="1892496303"/>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89249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Trend!PivotTable10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Commodities by Annual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Trend'!$G$1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Trend'!$F$2:$F$7</c:f>
              <c:strCache>
                <c:ptCount val="5"/>
                <c:pt idx="0">
                  <c:v>Sugar</c:v>
                </c:pt>
                <c:pt idx="1">
                  <c:v>Coffee</c:v>
                </c:pt>
                <c:pt idx="2">
                  <c:v>Copper</c:v>
                </c:pt>
                <c:pt idx="3">
                  <c:v>Soybean Oil</c:v>
                </c:pt>
                <c:pt idx="4">
                  <c:v>Oats</c:v>
                </c:pt>
              </c:strCache>
            </c:strRef>
          </c:cat>
          <c:val>
            <c:numRef>
              <c:f>'Growth Trend'!$G$2:$G$7</c:f>
              <c:numCache>
                <c:formatCode>0.00%;\-0.00%;0.00%</c:formatCode>
                <c:ptCount val="5"/>
                <c:pt idx="0">
                  <c:v>0.13861774193548387</c:v>
                </c:pt>
                <c:pt idx="1">
                  <c:v>9.1409803921568625E-2</c:v>
                </c:pt>
                <c:pt idx="2">
                  <c:v>8.4229230769230765E-2</c:v>
                </c:pt>
                <c:pt idx="3">
                  <c:v>7.3374999999999996E-2</c:v>
                </c:pt>
                <c:pt idx="4">
                  <c:v>6.5946296296296295E-2</c:v>
                </c:pt>
              </c:numCache>
            </c:numRef>
          </c:val>
          <c:extLst>
            <c:ext xmlns:c16="http://schemas.microsoft.com/office/drawing/2014/chart" uri="{C3380CC4-5D6E-409C-BE32-E72D297353CC}">
              <c16:uniqueId val="{00000000-CD7B-46E1-A285-CC83797761D2}"/>
            </c:ext>
          </c:extLst>
        </c:ser>
        <c:dLbls>
          <c:dLblPos val="outEnd"/>
          <c:showLegendKey val="0"/>
          <c:showVal val="1"/>
          <c:showCatName val="0"/>
          <c:showSerName val="0"/>
          <c:showPercent val="0"/>
          <c:showBubbleSize val="0"/>
        </c:dLbls>
        <c:gapWidth val="182"/>
        <c:axId val="1344976751"/>
        <c:axId val="1344973839"/>
      </c:barChart>
      <c:catAx>
        <c:axId val="134497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973839"/>
        <c:crosses val="autoZero"/>
        <c:auto val="1"/>
        <c:lblAlgn val="ctr"/>
        <c:lblOffset val="100"/>
        <c:noMultiLvlLbl val="0"/>
      </c:catAx>
      <c:valAx>
        <c:axId val="1344973839"/>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34497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&amp; Decline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&amp; Decline %'!$A$1</c:f>
              <c:strCache>
                <c:ptCount val="1"/>
                <c:pt idx="0">
                  <c:v>Growth Years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&amp; Decline %'!$A$2</c:f>
              <c:strCache>
                <c:ptCount val="1"/>
                <c:pt idx="0">
                  <c:v>Total</c:v>
                </c:pt>
              </c:strCache>
            </c:strRef>
          </c:cat>
          <c:val>
            <c:numRef>
              <c:f>'Growth &amp; Decline %'!$A$2</c:f>
              <c:numCache>
                <c:formatCode>0.00%;\-0.00%;0.00%</c:formatCode>
                <c:ptCount val="1"/>
                <c:pt idx="0">
                  <c:v>0.61538461538461542</c:v>
                </c:pt>
              </c:numCache>
            </c:numRef>
          </c:val>
          <c:extLst>
            <c:ext xmlns:c16="http://schemas.microsoft.com/office/drawing/2014/chart" uri="{C3380CC4-5D6E-409C-BE32-E72D297353CC}">
              <c16:uniqueId val="{00000000-5D39-405E-B62A-D4DB0A9A3833}"/>
            </c:ext>
          </c:extLst>
        </c:ser>
        <c:ser>
          <c:idx val="1"/>
          <c:order val="1"/>
          <c:tx>
            <c:strRef>
              <c:f>'Growth &amp; Decline %'!$B$1</c:f>
              <c:strCache>
                <c:ptCount val="1"/>
                <c:pt idx="0">
                  <c:v>Decline Years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&amp; Decline %'!$A$2</c:f>
              <c:strCache>
                <c:ptCount val="1"/>
                <c:pt idx="0">
                  <c:v>Total</c:v>
                </c:pt>
              </c:strCache>
            </c:strRef>
          </c:cat>
          <c:val>
            <c:numRef>
              <c:f>'Growth &amp; Decline %'!$B$2</c:f>
              <c:numCache>
                <c:formatCode>0.00%;\-0.00%;0.00%</c:formatCode>
                <c:ptCount val="1"/>
                <c:pt idx="0">
                  <c:v>0.38461538461538464</c:v>
                </c:pt>
              </c:numCache>
            </c:numRef>
          </c:val>
          <c:extLst>
            <c:ext xmlns:c16="http://schemas.microsoft.com/office/drawing/2014/chart" uri="{C3380CC4-5D6E-409C-BE32-E72D297353CC}">
              <c16:uniqueId val="{00000001-5D39-405E-B62A-D4DB0A9A3833}"/>
            </c:ext>
          </c:extLst>
        </c:ser>
        <c:dLbls>
          <c:dLblPos val="outEnd"/>
          <c:showLegendKey val="0"/>
          <c:showVal val="1"/>
          <c:showCatName val="0"/>
          <c:showSerName val="0"/>
          <c:showPercent val="0"/>
          <c:showBubbleSize val="0"/>
        </c:dLbls>
        <c:gapWidth val="219"/>
        <c:overlap val="-27"/>
        <c:axId val="1901926975"/>
        <c:axId val="1901925311"/>
      </c:barChart>
      <c:catAx>
        <c:axId val="19019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925311"/>
        <c:crosses val="autoZero"/>
        <c:auto val="1"/>
        <c:lblAlgn val="ctr"/>
        <c:lblOffset val="100"/>
        <c:noMultiLvlLbl val="0"/>
      </c:catAx>
      <c:valAx>
        <c:axId val="1901925311"/>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90192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Project_Final.xlsx]OHLC Trend-Price Performance!PivotTable3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OHLC</a:t>
            </a:r>
            <a:r>
              <a:rPr lang="en-US" baseline="0"/>
              <a:t> Price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'OHLC Trend-Price Performance'!$B$1</c:f>
              <c:strCache>
                <c:ptCount val="1"/>
                <c:pt idx="0">
                  <c:v>Average Opening Price</c:v>
                </c:pt>
              </c:strCache>
            </c:strRef>
          </c:tx>
          <c:spPr>
            <a:ln w="28575" cap="rnd">
              <a:solidFill>
                <a:schemeClr val="accent1"/>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Performance'!$B$2:$B$67</c:f>
              <c:numCache>
                <c:formatCode>\$#,##0.00;\(\$#,##0.00\);\$#,##0.00</c:formatCode>
                <c:ptCount val="65"/>
                <c:pt idx="0">
                  <c:v>0.31869999999999998</c:v>
                </c:pt>
                <c:pt idx="1">
                  <c:v>0.2767</c:v>
                </c:pt>
                <c:pt idx="2">
                  <c:v>0.3019</c:v>
                </c:pt>
                <c:pt idx="3">
                  <c:v>0.28699999999999998</c:v>
                </c:pt>
                <c:pt idx="4">
                  <c:v>0.30549999999999999</c:v>
                </c:pt>
                <c:pt idx="5">
                  <c:v>0.378</c:v>
                </c:pt>
                <c:pt idx="6">
                  <c:v>0.58699999999999997</c:v>
                </c:pt>
                <c:pt idx="7">
                  <c:v>0.55200000000000005</c:v>
                </c:pt>
                <c:pt idx="8">
                  <c:v>0.57999999999999996</c:v>
                </c:pt>
                <c:pt idx="9">
                  <c:v>0.51449999999999996</c:v>
                </c:pt>
                <c:pt idx="10">
                  <c:v>0.71799999999999997</c:v>
                </c:pt>
                <c:pt idx="11">
                  <c:v>0.46850000000000003</c:v>
                </c:pt>
                <c:pt idx="12">
                  <c:v>0.48649999999999999</c:v>
                </c:pt>
                <c:pt idx="13">
                  <c:v>0.502</c:v>
                </c:pt>
                <c:pt idx="14">
                  <c:v>0.85599999999999998</c:v>
                </c:pt>
                <c:pt idx="15">
                  <c:v>0.53100000000000003</c:v>
                </c:pt>
                <c:pt idx="16">
                  <c:v>0.55800000000000005</c:v>
                </c:pt>
                <c:pt idx="17">
                  <c:v>0.64400000000000002</c:v>
                </c:pt>
                <c:pt idx="18">
                  <c:v>0.61299999999999999</c:v>
                </c:pt>
                <c:pt idx="19">
                  <c:v>0.70050000000000001</c:v>
                </c:pt>
                <c:pt idx="20">
                  <c:v>1.1020000000000001</c:v>
                </c:pt>
                <c:pt idx="21">
                  <c:v>0.88</c:v>
                </c:pt>
                <c:pt idx="22">
                  <c:v>0.75900000000000001</c:v>
                </c:pt>
                <c:pt idx="23">
                  <c:v>0.71299999999999997</c:v>
                </c:pt>
                <c:pt idx="24">
                  <c:v>0.65949999999999998</c:v>
                </c:pt>
                <c:pt idx="25">
                  <c:v>0.56399999999999995</c:v>
                </c:pt>
                <c:pt idx="26">
                  <c:v>0.64349999999999996</c:v>
                </c:pt>
                <c:pt idx="27">
                  <c:v>0.61350000000000005</c:v>
                </c:pt>
                <c:pt idx="28">
                  <c:v>1.2549999999999999</c:v>
                </c:pt>
                <c:pt idx="29">
                  <c:v>1.367</c:v>
                </c:pt>
                <c:pt idx="30">
                  <c:v>1.0620000000000001</c:v>
                </c:pt>
                <c:pt idx="31">
                  <c:v>1.1930000000000001</c:v>
                </c:pt>
                <c:pt idx="32">
                  <c:v>0.95699999999999996</c:v>
                </c:pt>
                <c:pt idx="33">
                  <c:v>1.0640000000000001</c:v>
                </c:pt>
                <c:pt idx="34">
                  <c:v>0.80249999999999999</c:v>
                </c:pt>
                <c:pt idx="35">
                  <c:v>1.337</c:v>
                </c:pt>
                <c:pt idx="36">
                  <c:v>1.181</c:v>
                </c:pt>
                <c:pt idx="37">
                  <c:v>1.0215000000000001</c:v>
                </c:pt>
                <c:pt idx="38">
                  <c:v>0.77449999999999997</c:v>
                </c:pt>
                <c:pt idx="39">
                  <c:v>0.65400000000000003</c:v>
                </c:pt>
                <c:pt idx="40">
                  <c:v>0.84799999999999998</c:v>
                </c:pt>
                <c:pt idx="41">
                  <c:v>0.8115</c:v>
                </c:pt>
                <c:pt idx="42">
                  <c:v>0.65800000000000003</c:v>
                </c:pt>
                <c:pt idx="43">
                  <c:v>0.71799999999999997</c:v>
                </c:pt>
                <c:pt idx="44">
                  <c:v>1.087</c:v>
                </c:pt>
                <c:pt idx="45">
                  <c:v>1.4735</c:v>
                </c:pt>
                <c:pt idx="46">
                  <c:v>2.0485000000000002</c:v>
                </c:pt>
                <c:pt idx="47">
                  <c:v>2.649</c:v>
                </c:pt>
                <c:pt idx="48">
                  <c:v>3.0640000000000001</c:v>
                </c:pt>
                <c:pt idx="49">
                  <c:v>1.4610000000000001</c:v>
                </c:pt>
                <c:pt idx="50">
                  <c:v>3.4060000000000001</c:v>
                </c:pt>
                <c:pt idx="51">
                  <c:v>4.4574999999999996</c:v>
                </c:pt>
                <c:pt idx="52">
                  <c:v>3.5285000000000002</c:v>
                </c:pt>
                <c:pt idx="53">
                  <c:v>3.7360000000000002</c:v>
                </c:pt>
                <c:pt idx="54">
                  <c:v>3.3815</c:v>
                </c:pt>
                <c:pt idx="55">
                  <c:v>2.8174999999999999</c:v>
                </c:pt>
                <c:pt idx="56">
                  <c:v>2.0794999999999999</c:v>
                </c:pt>
                <c:pt idx="57">
                  <c:v>2.4889999999999999</c:v>
                </c:pt>
                <c:pt idx="58">
                  <c:v>3.278</c:v>
                </c:pt>
                <c:pt idx="59">
                  <c:v>2.6230000000000002</c:v>
                </c:pt>
                <c:pt idx="60">
                  <c:v>2.8250000000000002</c:v>
                </c:pt>
                <c:pt idx="61">
                  <c:v>3.5545</c:v>
                </c:pt>
                <c:pt idx="62">
                  <c:v>4.4215</c:v>
                </c:pt>
                <c:pt idx="63">
                  <c:v>3.8191999999999999</c:v>
                </c:pt>
                <c:pt idx="64">
                  <c:v>3.8912</c:v>
                </c:pt>
              </c:numCache>
            </c:numRef>
          </c:val>
          <c:smooth val="0"/>
          <c:extLst>
            <c:ext xmlns:c16="http://schemas.microsoft.com/office/drawing/2014/chart" uri="{C3380CC4-5D6E-409C-BE32-E72D297353CC}">
              <c16:uniqueId val="{00000000-6514-44FF-B3F5-17F481C3CBCC}"/>
            </c:ext>
          </c:extLst>
        </c:ser>
        <c:ser>
          <c:idx val="1"/>
          <c:order val="1"/>
          <c:tx>
            <c:strRef>
              <c:f>'OHLC Trend-Price Performance'!$C$1</c:f>
              <c:strCache>
                <c:ptCount val="1"/>
                <c:pt idx="0">
                  <c:v>Average Closing Price</c:v>
                </c:pt>
              </c:strCache>
            </c:strRef>
          </c:tx>
          <c:spPr>
            <a:ln w="28575" cap="rnd">
              <a:solidFill>
                <a:schemeClr val="accent2"/>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Performance'!$C$2:$C$67</c:f>
              <c:numCache>
                <c:formatCode>\$#,##0.00;\(\$#,##0.00\);\$#,##0.00</c:formatCode>
                <c:ptCount val="65"/>
                <c:pt idx="0">
                  <c:v>0.27729999999999999</c:v>
                </c:pt>
                <c:pt idx="1">
                  <c:v>0.30149999999999999</c:v>
                </c:pt>
                <c:pt idx="2">
                  <c:v>0.28789999999999999</c:v>
                </c:pt>
                <c:pt idx="3">
                  <c:v>0.30459999999999998</c:v>
                </c:pt>
                <c:pt idx="4">
                  <c:v>0.3715</c:v>
                </c:pt>
                <c:pt idx="5">
                  <c:v>0.57569999999999999</c:v>
                </c:pt>
                <c:pt idx="6">
                  <c:v>0.5403</c:v>
                </c:pt>
                <c:pt idx="7">
                  <c:v>0.57579999999999998</c:v>
                </c:pt>
                <c:pt idx="8">
                  <c:v>0.50829999999999997</c:v>
                </c:pt>
                <c:pt idx="9">
                  <c:v>0.73029999999999995</c:v>
                </c:pt>
                <c:pt idx="10">
                  <c:v>0.46460000000000001</c:v>
                </c:pt>
                <c:pt idx="11">
                  <c:v>0.48609999999999998</c:v>
                </c:pt>
                <c:pt idx="12">
                  <c:v>0.50080000000000002</c:v>
                </c:pt>
                <c:pt idx="13">
                  <c:v>0.86719999999999997</c:v>
                </c:pt>
                <c:pt idx="14">
                  <c:v>0.53359999999999996</c:v>
                </c:pt>
                <c:pt idx="15">
                  <c:v>0.55159999999999998</c:v>
                </c:pt>
                <c:pt idx="16">
                  <c:v>0.63039999999999996</c:v>
                </c:pt>
                <c:pt idx="17">
                  <c:v>0.60140000000000005</c:v>
                </c:pt>
                <c:pt idx="18">
                  <c:v>0.70760000000000001</c:v>
                </c:pt>
                <c:pt idx="19">
                  <c:v>1.0486</c:v>
                </c:pt>
                <c:pt idx="20">
                  <c:v>0.8599</c:v>
                </c:pt>
                <c:pt idx="21">
                  <c:v>0.75339999999999996</c:v>
                </c:pt>
                <c:pt idx="22">
                  <c:v>0.69389999999999996</c:v>
                </c:pt>
                <c:pt idx="23">
                  <c:v>0.66749999999999998</c:v>
                </c:pt>
                <c:pt idx="24">
                  <c:v>0.57040000000000002</c:v>
                </c:pt>
                <c:pt idx="25">
                  <c:v>0.64</c:v>
                </c:pt>
                <c:pt idx="26">
                  <c:v>0.61</c:v>
                </c:pt>
                <c:pt idx="27">
                  <c:v>1.3111999999999999</c:v>
                </c:pt>
                <c:pt idx="28">
                  <c:v>1.387</c:v>
                </c:pt>
                <c:pt idx="29">
                  <c:v>1.0650999999999999</c:v>
                </c:pt>
                <c:pt idx="30">
                  <c:v>1.1714</c:v>
                </c:pt>
                <c:pt idx="31">
                  <c:v>0.9738</c:v>
                </c:pt>
                <c:pt idx="32">
                  <c:v>1.0344</c:v>
                </c:pt>
                <c:pt idx="33">
                  <c:v>0.83230000000000004</c:v>
                </c:pt>
                <c:pt idx="34">
                  <c:v>1.3895</c:v>
                </c:pt>
                <c:pt idx="35">
                  <c:v>1.2165999999999999</c:v>
                </c:pt>
                <c:pt idx="36">
                  <c:v>1.0077</c:v>
                </c:pt>
                <c:pt idx="37">
                  <c:v>0.77859999999999996</c:v>
                </c:pt>
                <c:pt idx="38">
                  <c:v>0.67030000000000001</c:v>
                </c:pt>
                <c:pt idx="39">
                  <c:v>0.8609</c:v>
                </c:pt>
                <c:pt idx="40">
                  <c:v>0.84370000000000001</c:v>
                </c:pt>
                <c:pt idx="41">
                  <c:v>0.65780000000000005</c:v>
                </c:pt>
                <c:pt idx="42">
                  <c:v>0.70140000000000002</c:v>
                </c:pt>
                <c:pt idx="43">
                  <c:v>1.0449999999999999</c:v>
                </c:pt>
                <c:pt idx="44">
                  <c:v>1.4594</c:v>
                </c:pt>
                <c:pt idx="45">
                  <c:v>2.0659000000000001</c:v>
                </c:pt>
                <c:pt idx="46">
                  <c:v>2.8675999999999999</c:v>
                </c:pt>
                <c:pt idx="47">
                  <c:v>3.0388999999999999</c:v>
                </c:pt>
                <c:pt idx="48">
                  <c:v>1.407</c:v>
                </c:pt>
                <c:pt idx="49">
                  <c:v>3.3426999999999998</c:v>
                </c:pt>
                <c:pt idx="50">
                  <c:v>4.4455</c:v>
                </c:pt>
                <c:pt idx="51">
                  <c:v>3.4350999999999998</c:v>
                </c:pt>
                <c:pt idx="52">
                  <c:v>3.6501999999999999</c:v>
                </c:pt>
                <c:pt idx="53">
                  <c:v>3.4055</c:v>
                </c:pt>
                <c:pt idx="54">
                  <c:v>2.8281000000000001</c:v>
                </c:pt>
                <c:pt idx="55">
                  <c:v>2.1331000000000002</c:v>
                </c:pt>
                <c:pt idx="56">
                  <c:v>2.5038999999999998</c:v>
                </c:pt>
                <c:pt idx="57">
                  <c:v>3.2963</c:v>
                </c:pt>
                <c:pt idx="58">
                  <c:v>2.6303999999999998</c:v>
                </c:pt>
                <c:pt idx="59">
                  <c:v>2.7964000000000002</c:v>
                </c:pt>
                <c:pt idx="60">
                  <c:v>3.5179999999999998</c:v>
                </c:pt>
                <c:pt idx="61">
                  <c:v>4.4618000000000002</c:v>
                </c:pt>
                <c:pt idx="62">
                  <c:v>3.8191999999999999</c:v>
                </c:pt>
                <c:pt idx="63">
                  <c:v>3.8912</c:v>
                </c:pt>
                <c:pt idx="64">
                  <c:v>4.4463999999999997</c:v>
                </c:pt>
              </c:numCache>
            </c:numRef>
          </c:val>
          <c:smooth val="0"/>
          <c:extLst>
            <c:ext xmlns:c16="http://schemas.microsoft.com/office/drawing/2014/chart" uri="{C3380CC4-5D6E-409C-BE32-E72D297353CC}">
              <c16:uniqueId val="{00000001-6514-44FF-B3F5-17F481C3CBCC}"/>
            </c:ext>
          </c:extLst>
        </c:ser>
        <c:ser>
          <c:idx val="2"/>
          <c:order val="2"/>
          <c:tx>
            <c:strRef>
              <c:f>'OHLC Trend-Price Performance'!$D$1</c:f>
              <c:strCache>
                <c:ptCount val="1"/>
                <c:pt idx="0">
                  <c:v>Average High Price</c:v>
                </c:pt>
              </c:strCache>
            </c:strRef>
          </c:tx>
          <c:spPr>
            <a:ln w="28575" cap="rnd">
              <a:solidFill>
                <a:schemeClr val="accent3"/>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Performance'!$D$2:$D$67</c:f>
              <c:numCache>
                <c:formatCode>\$#,##0.00;\(\$#,##0.00\);\$#,##0.00</c:formatCode>
                <c:ptCount val="65"/>
                <c:pt idx="0">
                  <c:v>0.3286</c:v>
                </c:pt>
                <c:pt idx="1">
                  <c:v>0.3276</c:v>
                </c:pt>
                <c:pt idx="2">
                  <c:v>0.3075</c:v>
                </c:pt>
                <c:pt idx="3">
                  <c:v>0.30459999999999998</c:v>
                </c:pt>
                <c:pt idx="4">
                  <c:v>0.58950000000000002</c:v>
                </c:pt>
                <c:pt idx="5">
                  <c:v>0.60450000000000004</c:v>
                </c:pt>
                <c:pt idx="6">
                  <c:v>0.82699999999999996</c:v>
                </c:pt>
                <c:pt idx="7">
                  <c:v>0.64529999999999998</c:v>
                </c:pt>
                <c:pt idx="8">
                  <c:v>0.74</c:v>
                </c:pt>
                <c:pt idx="9">
                  <c:v>0.74399999999999999</c:v>
                </c:pt>
                <c:pt idx="10">
                  <c:v>0.77100000000000002</c:v>
                </c:pt>
                <c:pt idx="11">
                  <c:v>0.58599999999999997</c:v>
                </c:pt>
                <c:pt idx="12">
                  <c:v>0.53300000000000003</c:v>
                </c:pt>
                <c:pt idx="13">
                  <c:v>1.0585</c:v>
                </c:pt>
                <c:pt idx="14">
                  <c:v>1.383</c:v>
                </c:pt>
                <c:pt idx="15">
                  <c:v>0.629</c:v>
                </c:pt>
                <c:pt idx="16">
                  <c:v>0.78300000000000003</c:v>
                </c:pt>
                <c:pt idx="17">
                  <c:v>0.72399999999999998</c:v>
                </c:pt>
                <c:pt idx="18">
                  <c:v>0.70760000000000001</c:v>
                </c:pt>
                <c:pt idx="19">
                  <c:v>1.1299999999999999</c:v>
                </c:pt>
                <c:pt idx="20">
                  <c:v>1.43</c:v>
                </c:pt>
                <c:pt idx="21">
                  <c:v>0.90900000000000003</c:v>
                </c:pt>
                <c:pt idx="22">
                  <c:v>0.75900000000000001</c:v>
                </c:pt>
                <c:pt idx="23">
                  <c:v>0.81499999999999995</c:v>
                </c:pt>
                <c:pt idx="24">
                  <c:v>0.71750000000000003</c:v>
                </c:pt>
                <c:pt idx="25">
                  <c:v>0.65900000000000003</c:v>
                </c:pt>
                <c:pt idx="26">
                  <c:v>0.68600000000000005</c:v>
                </c:pt>
                <c:pt idx="27">
                  <c:v>1.37</c:v>
                </c:pt>
                <c:pt idx="28">
                  <c:v>1.56</c:v>
                </c:pt>
                <c:pt idx="29">
                  <c:v>1.4955000000000001</c:v>
                </c:pt>
                <c:pt idx="30">
                  <c:v>1.3354999999999999</c:v>
                </c:pt>
                <c:pt idx="31">
                  <c:v>1.1930000000000001</c:v>
                </c:pt>
                <c:pt idx="32">
                  <c:v>1.1635</c:v>
                </c:pt>
                <c:pt idx="33">
                  <c:v>1.0760000000000001</c:v>
                </c:pt>
                <c:pt idx="34">
                  <c:v>1.3895</c:v>
                </c:pt>
                <c:pt idx="35">
                  <c:v>1.4575</c:v>
                </c:pt>
                <c:pt idx="36">
                  <c:v>1.2555000000000001</c:v>
                </c:pt>
                <c:pt idx="37">
                  <c:v>1.222</c:v>
                </c:pt>
                <c:pt idx="38">
                  <c:v>0.85650000000000004</c:v>
                </c:pt>
                <c:pt idx="39">
                  <c:v>0.8609</c:v>
                </c:pt>
                <c:pt idx="40">
                  <c:v>0.93600000000000005</c:v>
                </c:pt>
                <c:pt idx="41">
                  <c:v>0.86150000000000004</c:v>
                </c:pt>
                <c:pt idx="42">
                  <c:v>0.78600000000000003</c:v>
                </c:pt>
                <c:pt idx="43">
                  <c:v>1.0449999999999999</c:v>
                </c:pt>
                <c:pt idx="44">
                  <c:v>1.4758</c:v>
                </c:pt>
                <c:pt idx="45">
                  <c:v>2.1678999999999999</c:v>
                </c:pt>
                <c:pt idx="46">
                  <c:v>3.923</c:v>
                </c:pt>
                <c:pt idx="47">
                  <c:v>3.7635000000000001</c:v>
                </c:pt>
                <c:pt idx="48">
                  <c:v>4.0635000000000003</c:v>
                </c:pt>
                <c:pt idx="49">
                  <c:v>3.3426999999999998</c:v>
                </c:pt>
                <c:pt idx="50">
                  <c:v>4.4455</c:v>
                </c:pt>
                <c:pt idx="51">
                  <c:v>4.6284999999999998</c:v>
                </c:pt>
                <c:pt idx="52">
                  <c:v>3.9784999999999999</c:v>
                </c:pt>
                <c:pt idx="53">
                  <c:v>3.7845</c:v>
                </c:pt>
                <c:pt idx="54">
                  <c:v>3.3815</c:v>
                </c:pt>
                <c:pt idx="55">
                  <c:v>2.9350000000000001</c:v>
                </c:pt>
                <c:pt idx="56">
                  <c:v>2.6915</c:v>
                </c:pt>
                <c:pt idx="57">
                  <c:v>3.2995000000000001</c:v>
                </c:pt>
                <c:pt idx="58">
                  <c:v>3.3</c:v>
                </c:pt>
                <c:pt idx="59">
                  <c:v>2.9674999999999998</c:v>
                </c:pt>
                <c:pt idx="60">
                  <c:v>3.6274999999999999</c:v>
                </c:pt>
                <c:pt idx="61">
                  <c:v>4.7619999999999996</c:v>
                </c:pt>
                <c:pt idx="62">
                  <c:v>4.9375</c:v>
                </c:pt>
                <c:pt idx="63">
                  <c:v>4.2864000000000004</c:v>
                </c:pt>
                <c:pt idx="64">
                  <c:v>5.1055999999999999</c:v>
                </c:pt>
              </c:numCache>
            </c:numRef>
          </c:val>
          <c:smooth val="0"/>
          <c:extLst>
            <c:ext xmlns:c16="http://schemas.microsoft.com/office/drawing/2014/chart" uri="{C3380CC4-5D6E-409C-BE32-E72D297353CC}">
              <c16:uniqueId val="{00000002-6514-44FF-B3F5-17F481C3CBCC}"/>
            </c:ext>
          </c:extLst>
        </c:ser>
        <c:ser>
          <c:idx val="3"/>
          <c:order val="3"/>
          <c:tx>
            <c:strRef>
              <c:f>'OHLC Trend-Price Performance'!$E$1</c:f>
              <c:strCache>
                <c:ptCount val="1"/>
                <c:pt idx="0">
                  <c:v>Average Low Price</c:v>
                </c:pt>
              </c:strCache>
            </c:strRef>
          </c:tx>
          <c:spPr>
            <a:ln w="28575" cap="rnd">
              <a:solidFill>
                <a:schemeClr val="accent4"/>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Performance'!$E$2:$E$67</c:f>
              <c:numCache>
                <c:formatCode>\$#,##0.00;\(\$#,##0.00\);\$#,##0.00</c:formatCode>
                <c:ptCount val="65"/>
                <c:pt idx="0">
                  <c:v>0.27529999999999999</c:v>
                </c:pt>
                <c:pt idx="1">
                  <c:v>0.26719999999999999</c:v>
                </c:pt>
                <c:pt idx="2">
                  <c:v>0.28000000000000003</c:v>
                </c:pt>
                <c:pt idx="3">
                  <c:v>0.28699999999999998</c:v>
                </c:pt>
                <c:pt idx="4">
                  <c:v>0.30449999999999999</c:v>
                </c:pt>
                <c:pt idx="5">
                  <c:v>0.36549999999999999</c:v>
                </c:pt>
                <c:pt idx="6">
                  <c:v>0.46400000000000002</c:v>
                </c:pt>
                <c:pt idx="7">
                  <c:v>0.41499999999999998</c:v>
                </c:pt>
                <c:pt idx="8">
                  <c:v>0.433</c:v>
                </c:pt>
                <c:pt idx="9">
                  <c:v>0.504</c:v>
                </c:pt>
                <c:pt idx="10">
                  <c:v>0.45450000000000002</c:v>
                </c:pt>
                <c:pt idx="11">
                  <c:v>0.44350000000000001</c:v>
                </c:pt>
                <c:pt idx="12">
                  <c:v>0.46100000000000002</c:v>
                </c:pt>
                <c:pt idx="13">
                  <c:v>0.502</c:v>
                </c:pt>
                <c:pt idx="14">
                  <c:v>0.53359999999999996</c:v>
                </c:pt>
                <c:pt idx="15">
                  <c:v>0.51600000000000001</c:v>
                </c:pt>
                <c:pt idx="16">
                  <c:v>0.53800000000000003</c:v>
                </c:pt>
                <c:pt idx="17">
                  <c:v>0.52</c:v>
                </c:pt>
                <c:pt idx="18">
                  <c:v>0.55300000000000005</c:v>
                </c:pt>
                <c:pt idx="19">
                  <c:v>0.70050000000000001</c:v>
                </c:pt>
                <c:pt idx="20">
                  <c:v>0.78600000000000003</c:v>
                </c:pt>
                <c:pt idx="21">
                  <c:v>0.70850000000000002</c:v>
                </c:pt>
                <c:pt idx="22">
                  <c:v>0.54400000000000004</c:v>
                </c:pt>
                <c:pt idx="23">
                  <c:v>0.61099999999999999</c:v>
                </c:pt>
                <c:pt idx="24">
                  <c:v>0.55100000000000005</c:v>
                </c:pt>
                <c:pt idx="25">
                  <c:v>0.56399999999999995</c:v>
                </c:pt>
                <c:pt idx="26">
                  <c:v>0.56950000000000001</c:v>
                </c:pt>
                <c:pt idx="27">
                  <c:v>0.60199999999999998</c:v>
                </c:pt>
                <c:pt idx="28">
                  <c:v>0.85819999999999996</c:v>
                </c:pt>
                <c:pt idx="29">
                  <c:v>0.98799999999999999</c:v>
                </c:pt>
                <c:pt idx="30">
                  <c:v>0.95650000000000002</c:v>
                </c:pt>
                <c:pt idx="31">
                  <c:v>0.96650000000000003</c:v>
                </c:pt>
                <c:pt idx="32">
                  <c:v>0.94350000000000001</c:v>
                </c:pt>
                <c:pt idx="33">
                  <c:v>0.72599999999999998</c:v>
                </c:pt>
                <c:pt idx="34">
                  <c:v>0.78600000000000003</c:v>
                </c:pt>
                <c:pt idx="35">
                  <c:v>1.2110000000000001</c:v>
                </c:pt>
                <c:pt idx="36">
                  <c:v>0.84370000000000001</c:v>
                </c:pt>
                <c:pt idx="37">
                  <c:v>0.76980000000000004</c:v>
                </c:pt>
                <c:pt idx="38">
                  <c:v>0.65149999999999997</c:v>
                </c:pt>
                <c:pt idx="39">
                  <c:v>0.61350000000000005</c:v>
                </c:pt>
                <c:pt idx="40">
                  <c:v>0.74350000000000005</c:v>
                </c:pt>
                <c:pt idx="41">
                  <c:v>0.60599999999999998</c:v>
                </c:pt>
                <c:pt idx="42">
                  <c:v>0.65800000000000003</c:v>
                </c:pt>
                <c:pt idx="43">
                  <c:v>0.71099999999999997</c:v>
                </c:pt>
                <c:pt idx="44">
                  <c:v>1.0665</c:v>
                </c:pt>
                <c:pt idx="45">
                  <c:v>1.343</c:v>
                </c:pt>
                <c:pt idx="46">
                  <c:v>2.0485000000000002</c:v>
                </c:pt>
                <c:pt idx="47">
                  <c:v>2.4165000000000001</c:v>
                </c:pt>
                <c:pt idx="48">
                  <c:v>1.2595000000000001</c:v>
                </c:pt>
                <c:pt idx="49">
                  <c:v>1.3959999999999999</c:v>
                </c:pt>
                <c:pt idx="50">
                  <c:v>2.766</c:v>
                </c:pt>
                <c:pt idx="51">
                  <c:v>3.0575000000000001</c:v>
                </c:pt>
                <c:pt idx="52">
                  <c:v>3.2850000000000001</c:v>
                </c:pt>
                <c:pt idx="53">
                  <c:v>3.0245000000000002</c:v>
                </c:pt>
                <c:pt idx="54">
                  <c:v>2.8266</c:v>
                </c:pt>
                <c:pt idx="55">
                  <c:v>2.0209999999999999</c:v>
                </c:pt>
                <c:pt idx="56">
                  <c:v>1.9435</c:v>
                </c:pt>
                <c:pt idx="57">
                  <c:v>2.4889999999999999</c:v>
                </c:pt>
                <c:pt idx="58">
                  <c:v>2.56</c:v>
                </c:pt>
                <c:pt idx="59">
                  <c:v>2.528</c:v>
                </c:pt>
                <c:pt idx="60">
                  <c:v>2.1004999999999998</c:v>
                </c:pt>
                <c:pt idx="61">
                  <c:v>3.5245000000000002</c:v>
                </c:pt>
                <c:pt idx="62">
                  <c:v>3.2271999999999998</c:v>
                </c:pt>
                <c:pt idx="63">
                  <c:v>3.5728</c:v>
                </c:pt>
                <c:pt idx="64">
                  <c:v>3.6863999999999999</c:v>
                </c:pt>
              </c:numCache>
            </c:numRef>
          </c:val>
          <c:smooth val="0"/>
          <c:extLst>
            <c:ext xmlns:c16="http://schemas.microsoft.com/office/drawing/2014/chart" uri="{C3380CC4-5D6E-409C-BE32-E72D297353CC}">
              <c16:uniqueId val="{00000003-6514-44FF-B3F5-17F481C3CBCC}"/>
            </c:ext>
          </c:extLst>
        </c:ser>
        <c:dLbls>
          <c:showLegendKey val="0"/>
          <c:showVal val="0"/>
          <c:showCatName val="0"/>
          <c:showSerName val="0"/>
          <c:showPercent val="0"/>
          <c:showBubbleSize val="0"/>
        </c:dLbls>
        <c:smooth val="0"/>
        <c:axId val="2082935439"/>
        <c:axId val="2082934191"/>
      </c:lineChart>
      <c:catAx>
        <c:axId val="208293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4191"/>
        <c:crosses val="autoZero"/>
        <c:auto val="1"/>
        <c:lblAlgn val="ctr"/>
        <c:lblOffset val="100"/>
        <c:noMultiLvlLbl val="0"/>
      </c:catAx>
      <c:valAx>
        <c:axId val="20829341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Range % vs Annual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'change % vs range %-2nd p'!$C$49</c:f>
              <c:strCache>
                <c:ptCount val="1"/>
                <c:pt idx="0">
                  <c:v>Average Annual Range %</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F9FF4CC0-F23C-4BDF-80CB-C7BA947BFAE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C5C-453F-8991-D841AEC2370B}"/>
                </c:ext>
              </c:extLst>
            </c:dLbl>
            <c:dLbl>
              <c:idx val="1"/>
              <c:tx>
                <c:rich>
                  <a:bodyPr/>
                  <a:lstStyle/>
                  <a:p>
                    <a:fld id="{D8F28881-9EE5-47FB-9FCF-73E1878F3D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C5C-453F-8991-D841AEC2370B}"/>
                </c:ext>
              </c:extLst>
            </c:dLbl>
            <c:dLbl>
              <c:idx val="2"/>
              <c:tx>
                <c:rich>
                  <a:bodyPr/>
                  <a:lstStyle/>
                  <a:p>
                    <a:fld id="{10AE0591-A2D1-49F0-90CC-E486B78DD9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C5C-453F-8991-D841AEC2370B}"/>
                </c:ext>
              </c:extLst>
            </c:dLbl>
            <c:dLbl>
              <c:idx val="3"/>
              <c:tx>
                <c:rich>
                  <a:bodyPr/>
                  <a:lstStyle/>
                  <a:p>
                    <a:fld id="{8535E78C-9096-466F-B214-D4E7F6884C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5C-453F-8991-D841AEC2370B}"/>
                </c:ext>
              </c:extLst>
            </c:dLbl>
            <c:dLbl>
              <c:idx val="4"/>
              <c:tx>
                <c:rich>
                  <a:bodyPr/>
                  <a:lstStyle/>
                  <a:p>
                    <a:fld id="{C1A84591-9B16-42E3-86AA-05BFC3D07EA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C5C-453F-8991-D841AEC2370B}"/>
                </c:ext>
              </c:extLst>
            </c:dLbl>
            <c:dLbl>
              <c:idx val="5"/>
              <c:tx>
                <c:rich>
                  <a:bodyPr/>
                  <a:lstStyle/>
                  <a:p>
                    <a:fld id="{8326878C-EDD1-4234-B266-3E8FBEB639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5C-453F-8991-D841AEC2370B}"/>
                </c:ext>
              </c:extLst>
            </c:dLbl>
            <c:dLbl>
              <c:idx val="6"/>
              <c:tx>
                <c:rich>
                  <a:bodyPr/>
                  <a:lstStyle/>
                  <a:p>
                    <a:fld id="{7DE3037D-7D01-4637-81D9-64E5195DCC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C5C-453F-8991-D841AEC2370B}"/>
                </c:ext>
              </c:extLst>
            </c:dLbl>
            <c:dLbl>
              <c:idx val="7"/>
              <c:tx>
                <c:rich>
                  <a:bodyPr/>
                  <a:lstStyle/>
                  <a:p>
                    <a:fld id="{C1CD7DA6-6DDA-4898-8A92-B0608B208A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C5C-453F-8991-D841AEC2370B}"/>
                </c:ext>
              </c:extLst>
            </c:dLbl>
            <c:dLbl>
              <c:idx val="8"/>
              <c:tx>
                <c:rich>
                  <a:bodyPr/>
                  <a:lstStyle/>
                  <a:p>
                    <a:fld id="{F836655B-603D-4D10-9ABF-5A9532082B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C5C-453F-8991-D841AEC2370B}"/>
                </c:ext>
              </c:extLst>
            </c:dLbl>
            <c:dLbl>
              <c:idx val="9"/>
              <c:tx>
                <c:rich>
                  <a:bodyPr/>
                  <a:lstStyle/>
                  <a:p>
                    <a:fld id="{E015B082-15EC-4B9C-8415-915850C6A5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C5C-453F-8991-D841AEC23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'change % vs range %-2nd p'!$B$50:$B$59</c:f>
              <c:numCache>
                <c:formatCode>0.0%</c:formatCode>
                <c:ptCount val="10"/>
                <c:pt idx="0">
                  <c:v>9.1409803921568625E-2</c:v>
                </c:pt>
                <c:pt idx="1">
                  <c:v>8.4229230769230765E-2</c:v>
                </c:pt>
                <c:pt idx="2">
                  <c:v>4.786E-2</c:v>
                </c:pt>
                <c:pt idx="3">
                  <c:v>6.4709615384615379E-2</c:v>
                </c:pt>
                <c:pt idx="4">
                  <c:v>6.3019230769230772E-2</c:v>
                </c:pt>
                <c:pt idx="5">
                  <c:v>6.5946296296296295E-2</c:v>
                </c:pt>
                <c:pt idx="6">
                  <c:v>5.3800000000000001E-2</c:v>
                </c:pt>
                <c:pt idx="7">
                  <c:v>7.3374999999999996E-2</c:v>
                </c:pt>
                <c:pt idx="8">
                  <c:v>0.13861774193548387</c:v>
                </c:pt>
                <c:pt idx="9">
                  <c:v>4.8221538461538462E-2</c:v>
                </c:pt>
              </c:numCache>
            </c:numRef>
          </c:xVal>
          <c:yVal>
            <c:numRef>
              <c:f>'change % vs range %-2nd p'!$C$50:$C$59</c:f>
              <c:numCache>
                <c:formatCode>0.0%</c:formatCode>
                <c:ptCount val="10"/>
                <c:pt idx="0">
                  <c:v>0.55363153549099575</c:v>
                </c:pt>
                <c:pt idx="1">
                  <c:v>0.38449982896839419</c:v>
                </c:pt>
                <c:pt idx="2">
                  <c:v>0.35184772046106583</c:v>
                </c:pt>
                <c:pt idx="3">
                  <c:v>0.42243200727898267</c:v>
                </c:pt>
                <c:pt idx="4">
                  <c:v>0.46299729647846921</c:v>
                </c:pt>
                <c:pt idx="5">
                  <c:v>0.45689069583198549</c:v>
                </c:pt>
                <c:pt idx="6">
                  <c:v>0.36391202734615152</c:v>
                </c:pt>
                <c:pt idx="7">
                  <c:v>0.39763937981331632</c:v>
                </c:pt>
                <c:pt idx="8">
                  <c:v>0.6277766680118162</c:v>
                </c:pt>
                <c:pt idx="9">
                  <c:v>0.37624896766507265</c:v>
                </c:pt>
              </c:numCache>
            </c:numRef>
          </c:yVal>
          <c:smooth val="0"/>
          <c:extLst>
            <c:ext xmlns:c15="http://schemas.microsoft.com/office/drawing/2012/chart" uri="{02D57815-91ED-43cb-92C2-25804820EDAC}">
              <c15:datalabelsRange>
                <c15:f>'change % vs range %-2nd p'!$A$50:$A$59</c15:f>
                <c15:dlblRangeCache>
                  <c:ptCount val="10"/>
                  <c:pt idx="0">
                    <c:v>Coffee</c:v>
                  </c:pt>
                  <c:pt idx="1">
                    <c:v>Copper</c:v>
                  </c:pt>
                  <c:pt idx="2">
                    <c:v>Corn</c:v>
                  </c:pt>
                  <c:pt idx="3">
                    <c:v>Cotton</c:v>
                  </c:pt>
                  <c:pt idx="4">
                    <c:v>Lumber</c:v>
                  </c:pt>
                  <c:pt idx="5">
                    <c:v>Oats</c:v>
                  </c:pt>
                  <c:pt idx="6">
                    <c:v>Soybean</c:v>
                  </c:pt>
                  <c:pt idx="7">
                    <c:v>Soybean Oil</c:v>
                  </c:pt>
                  <c:pt idx="8">
                    <c:v>Sugar</c:v>
                  </c:pt>
                  <c:pt idx="9">
                    <c:v>Wheat</c:v>
                  </c:pt>
                </c15:dlblRangeCache>
              </c15:datalabelsRange>
            </c:ext>
            <c:ext xmlns:c16="http://schemas.microsoft.com/office/drawing/2014/chart" uri="{C3380CC4-5D6E-409C-BE32-E72D297353CC}">
              <c16:uniqueId val="{0000000C-AC5C-453F-8991-D841AEC2370B}"/>
            </c:ext>
          </c:extLst>
        </c:ser>
        <c:dLbls>
          <c:showLegendKey val="0"/>
          <c:showVal val="1"/>
          <c:showCatName val="0"/>
          <c:showSerName val="0"/>
          <c:showPercent val="0"/>
          <c:showBubbleSize val="0"/>
        </c:dLbls>
        <c:axId val="1616177823"/>
        <c:axId val="1616175327"/>
      </c:scatterChart>
      <c:valAx>
        <c:axId val="1616177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Change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75327"/>
        <c:crosses val="autoZero"/>
        <c:crossBetween val="midCat"/>
      </c:valAx>
      <c:valAx>
        <c:axId val="1616175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Range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778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Project_Final.xlsx]change % vs range %-2nd p!PivotTable8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Commodities Ranked by Avg Annual</a:t>
            </a:r>
            <a:r>
              <a:rPr lang="en-US" baseline="0"/>
              <a:t> Range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'change % vs range %-2nd 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'change % vs range %-2nd p'!$A$4:$A$5</c:f>
              <c:strCache>
                <c:ptCount val="1"/>
                <c:pt idx="0">
                  <c:v>Copper</c:v>
                </c:pt>
              </c:strCache>
            </c:strRef>
          </c:cat>
          <c:val>
            <c:numRef>
              <c:f>'change % vs range %-2nd p'!$B$4:$B$5</c:f>
              <c:numCache>
                <c:formatCode>0.00%;\-0.00%;0.00%</c:formatCode>
                <c:ptCount val="1"/>
                <c:pt idx="0">
                  <c:v>0.38449982896839419</c:v>
                </c:pt>
              </c:numCache>
            </c:numRef>
          </c:val>
          <c:extLst>
            <c:ext xmlns:c16="http://schemas.microsoft.com/office/drawing/2014/chart" uri="{C3380CC4-5D6E-409C-BE32-E72D297353CC}">
              <c16:uniqueId val="{00000000-07CB-428B-9CCD-82628FA9121B}"/>
            </c:ext>
          </c:extLst>
        </c:ser>
        <c:dLbls>
          <c:dLblPos val="outEnd"/>
          <c:showLegendKey val="0"/>
          <c:showVal val="1"/>
          <c:showCatName val="0"/>
          <c:showSerName val="0"/>
          <c:showPercent val="0"/>
          <c:showBubbleSize val="0"/>
        </c:dLbls>
        <c:gapWidth val="150"/>
        <c:axId val="692863151"/>
        <c:axId val="692866895"/>
      </c:barChart>
      <c:catAx>
        <c:axId val="69286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66895"/>
        <c:crosses val="autoZero"/>
        <c:auto val="1"/>
        <c:lblAlgn val="ctr"/>
        <c:lblOffset val="100"/>
        <c:noMultiLvlLbl val="0"/>
      </c:catAx>
      <c:valAx>
        <c:axId val="692866895"/>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69286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&amp; Decline Streaks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'Streak Calculations-3rd Page'!$J$1</c:f>
              <c:strCache>
                <c:ptCount val="1"/>
                <c:pt idx="0">
                  <c:v>Longest Growth Streak</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'Streak Calculations-3rd Page'!$I$2:$I$11</c:f>
              <c:strCache>
                <c:ptCount val="10"/>
                <c:pt idx="0">
                  <c:v>Cotton</c:v>
                </c:pt>
                <c:pt idx="1">
                  <c:v>Lumber</c:v>
                </c:pt>
                <c:pt idx="2">
                  <c:v>Oats</c:v>
                </c:pt>
                <c:pt idx="3">
                  <c:v>Soybean</c:v>
                </c:pt>
                <c:pt idx="4">
                  <c:v>Soybean Oil</c:v>
                </c:pt>
                <c:pt idx="5">
                  <c:v>Sugar</c:v>
                </c:pt>
                <c:pt idx="6">
                  <c:v>Coffee</c:v>
                </c:pt>
                <c:pt idx="7">
                  <c:v>Wheat</c:v>
                </c:pt>
                <c:pt idx="8">
                  <c:v>Corn</c:v>
                </c:pt>
                <c:pt idx="9">
                  <c:v>Copper</c:v>
                </c:pt>
              </c:strCache>
            </c:strRef>
          </c:cat>
          <c:val>
            <c:numRef>
              <c:f>'Streak Calculations-3rd Page'!$J$2:$J$11</c:f>
              <c:numCache>
                <c:formatCode>General</c:formatCode>
                <c:ptCount val="10"/>
                <c:pt idx="0">
                  <c:v>3</c:v>
                </c:pt>
                <c:pt idx="1">
                  <c:v>4</c:v>
                </c:pt>
                <c:pt idx="2">
                  <c:v>6</c:v>
                </c:pt>
                <c:pt idx="3">
                  <c:v>6</c:v>
                </c:pt>
                <c:pt idx="4">
                  <c:v>6</c:v>
                </c:pt>
                <c:pt idx="5">
                  <c:v>5</c:v>
                </c:pt>
                <c:pt idx="6">
                  <c:v>6</c:v>
                </c:pt>
                <c:pt idx="7">
                  <c:v>6</c:v>
                </c:pt>
                <c:pt idx="8">
                  <c:v>5</c:v>
                </c:pt>
                <c:pt idx="9">
                  <c:v>6</c:v>
                </c:pt>
              </c:numCache>
            </c:numRef>
          </c:val>
          <c:extLst>
            <c:ext xmlns:c16="http://schemas.microsoft.com/office/drawing/2014/chart" uri="{C3380CC4-5D6E-409C-BE32-E72D297353CC}">
              <c16:uniqueId val="{00000000-77AF-4597-9F71-65F639718C08}"/>
            </c:ext>
          </c:extLst>
        </c:ser>
        <c:ser>
          <c:idx val="1"/>
          <c:order val="1"/>
          <c:tx>
            <c:strRef>
              <c:f>'Streak Calculations-3rd Page'!$K$1</c:f>
              <c:strCache>
                <c:ptCount val="1"/>
                <c:pt idx="0">
                  <c:v>Longest Decline Streak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'Streak Calculations-3rd Page'!$I$2:$I$11</c:f>
              <c:strCache>
                <c:ptCount val="10"/>
                <c:pt idx="0">
                  <c:v>Cotton</c:v>
                </c:pt>
                <c:pt idx="1">
                  <c:v>Lumber</c:v>
                </c:pt>
                <c:pt idx="2">
                  <c:v>Oats</c:v>
                </c:pt>
                <c:pt idx="3">
                  <c:v>Soybean</c:v>
                </c:pt>
                <c:pt idx="4">
                  <c:v>Soybean Oil</c:v>
                </c:pt>
                <c:pt idx="5">
                  <c:v>Sugar</c:v>
                </c:pt>
                <c:pt idx="6">
                  <c:v>Coffee</c:v>
                </c:pt>
                <c:pt idx="7">
                  <c:v>Wheat</c:v>
                </c:pt>
                <c:pt idx="8">
                  <c:v>Corn</c:v>
                </c:pt>
                <c:pt idx="9">
                  <c:v>Copper</c:v>
                </c:pt>
              </c:strCache>
            </c:strRef>
          </c:cat>
          <c:val>
            <c:numRef>
              <c:f>'Streak Calculations-3rd Page'!$K$2:$K$11</c:f>
              <c:numCache>
                <c:formatCode>General</c:formatCode>
                <c:ptCount val="10"/>
                <c:pt idx="0">
                  <c:v>5</c:v>
                </c:pt>
                <c:pt idx="1">
                  <c:v>3</c:v>
                </c:pt>
                <c:pt idx="2">
                  <c:v>3</c:v>
                </c:pt>
                <c:pt idx="3">
                  <c:v>4</c:v>
                </c:pt>
                <c:pt idx="4">
                  <c:v>5</c:v>
                </c:pt>
                <c:pt idx="5">
                  <c:v>4</c:v>
                </c:pt>
                <c:pt idx="6">
                  <c:v>3</c:v>
                </c:pt>
                <c:pt idx="7">
                  <c:v>4</c:v>
                </c:pt>
                <c:pt idx="8">
                  <c:v>5</c:v>
                </c:pt>
                <c:pt idx="9">
                  <c:v>5</c:v>
                </c:pt>
              </c:numCache>
            </c:numRef>
          </c:val>
          <c:extLst>
            <c:ext xmlns:c16="http://schemas.microsoft.com/office/drawing/2014/chart" uri="{C3380CC4-5D6E-409C-BE32-E72D297353CC}">
              <c16:uniqueId val="{00000001-77AF-4597-9F71-65F639718C08}"/>
            </c:ext>
          </c:extLst>
        </c:ser>
        <c:dLbls>
          <c:dLblPos val="outEnd"/>
          <c:showLegendKey val="0"/>
          <c:showVal val="1"/>
          <c:showCatName val="0"/>
          <c:showSerName val="0"/>
          <c:showPercent val="0"/>
          <c:showBubbleSize val="0"/>
        </c:dLbls>
        <c:gapWidth val="182"/>
        <c:axId val="2120213679"/>
        <c:axId val="2120214095"/>
      </c:barChart>
      <c:catAx>
        <c:axId val="21202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14095"/>
        <c:crosses val="autoZero"/>
        <c:auto val="1"/>
        <c:lblAlgn val="ctr"/>
        <c:lblOffset val="100"/>
        <c:noMultiLvlLbl val="0"/>
      </c:catAx>
      <c:valAx>
        <c:axId val="2120214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021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Project_Final.xlsx]Streak Calculations-3rd Page!PivotTable13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Range % by Year - 2014</a:t>
            </a:r>
            <a:r>
              <a:rPr lang="en-US" baseline="0"/>
              <a:t> - 2024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'Streak Calculations-3rd Page'!$I$28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'Streak Calculations-3rd Page'!$H$29:$H$40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'Streak Calculations-3rd Page'!$I$29:$I$40</c:f>
              <c:numCache>
                <c:formatCode>0.00%;\-0.00%;0.00%</c:formatCode>
                <c:ptCount val="11"/>
                <c:pt idx="0">
                  <c:v>0.40856341723202927</c:v>
                </c:pt>
                <c:pt idx="1">
                  <c:v>0.33155399382174833</c:v>
                </c:pt>
                <c:pt idx="2">
                  <c:v>0.37099387680712204</c:v>
                </c:pt>
                <c:pt idx="3">
                  <c:v>0.29435211335938527</c:v>
                </c:pt>
                <c:pt idx="4">
                  <c:v>0.33381514522131084</c:v>
                </c:pt>
                <c:pt idx="5">
                  <c:v>0.27994311945084571</c:v>
                </c:pt>
                <c:pt idx="6">
                  <c:v>0.53647502335769182</c:v>
                </c:pt>
                <c:pt idx="7">
                  <c:v>0.57249915645437577</c:v>
                </c:pt>
                <c:pt idx="8">
                  <c:v>0.57002635171875915</c:v>
                </c:pt>
                <c:pt idx="9">
                  <c:v>0.44300241623616232</c:v>
                </c:pt>
                <c:pt idx="10">
                  <c:v>0.37860796193101964</c:v>
                </c:pt>
              </c:numCache>
            </c:numRef>
          </c:val>
          <c:smooth val="0"/>
          <c:extLst>
            <c:ext xmlns:c16="http://schemas.microsoft.com/office/drawing/2014/chart" uri="{C3380CC4-5D6E-409C-BE32-E72D297353CC}">
              <c16:uniqueId val="{00000000-7E5F-4BBD-B081-E0A4C71D1CC6}"/>
            </c:ext>
          </c:extLst>
        </c:ser>
        <c:dLbls>
          <c:dLblPos val="t"/>
          <c:showLegendKey val="0"/>
          <c:showVal val="1"/>
          <c:showCatName val="0"/>
          <c:showSerName val="0"/>
          <c:showPercent val="0"/>
          <c:showBubbleSize val="0"/>
        </c:dLbls>
        <c:smooth val="0"/>
        <c:axId val="1910333935"/>
        <c:axId val="1910332271"/>
      </c:lineChart>
      <c:catAx>
        <c:axId val="19103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32271"/>
        <c:crosses val="autoZero"/>
        <c:auto val="1"/>
        <c:lblAlgn val="ctr"/>
        <c:lblOffset val="100"/>
        <c:noMultiLvlLbl val="0"/>
      </c:catAx>
      <c:valAx>
        <c:axId val="1910332271"/>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91033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Commodity Risk Ranking — Avg Annual Range %</a:t>
            </a:r>
            <a:endParaRPr lang="en-US"/>
          </a:p>
        </c:rich>
      </c:tx>
      <c:layout>
        <c:manualLayout>
          <c:xMode val="edge"/>
          <c:yMode val="edge"/>
          <c:x val="1.5791557305336823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'Risk level table - 3rd page'!$J$2</c:f>
              <c:strCache>
                <c:ptCount val="1"/>
                <c:pt idx="0">
                  <c:v>Stable</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page'!$J$3:$J$12</c:f>
              <c:numCache>
                <c:formatCode>General</c:formatCode>
                <c:ptCount val="10"/>
                <c:pt idx="0">
                  <c:v>#N/A</c:v>
                </c:pt>
                <c:pt idx="1">
                  <c:v>#N/A</c:v>
                </c:pt>
                <c:pt idx="2">
                  <c:v>#N/A</c:v>
                </c:pt>
                <c:pt idx="3">
                  <c:v>#N/A</c:v>
                </c:pt>
                <c:pt idx="4">
                  <c:v>#N/A</c:v>
                </c:pt>
                <c:pt idx="5">
                  <c:v>0.39763937981331632</c:v>
                </c:pt>
                <c:pt idx="6">
                  <c:v>0.38449982896839419</c:v>
                </c:pt>
                <c:pt idx="7">
                  <c:v>0.37624896766507265</c:v>
                </c:pt>
                <c:pt idx="8">
                  <c:v>0.36391202734615152</c:v>
                </c:pt>
                <c:pt idx="9">
                  <c:v>0.35184772046106583</c:v>
                </c:pt>
              </c:numCache>
            </c:numRef>
          </c:val>
          <c:extLst>
            <c:ext xmlns:c16="http://schemas.microsoft.com/office/drawing/2014/chart" uri="{C3380CC4-5D6E-409C-BE32-E72D297353CC}">
              <c16:uniqueId val="{00000000-AAEB-417C-ADB5-92FCBFC8E34F}"/>
            </c:ext>
          </c:extLst>
        </c:ser>
        <c:ser>
          <c:idx val="1"/>
          <c:order val="1"/>
          <c:tx>
            <c:strRef>
              <c:f>'Risk level table - 3rd page'!$K$2</c:f>
              <c:strCache>
                <c:ptCount val="1"/>
                <c:pt idx="0">
                  <c:v>Moderate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page'!$K$3:$K$12</c:f>
              <c:numCache>
                <c:formatCode>General</c:formatCode>
                <c:ptCount val="10"/>
                <c:pt idx="0">
                  <c:v>#N/A</c:v>
                </c:pt>
                <c:pt idx="1">
                  <c:v>#N/A</c:v>
                </c:pt>
                <c:pt idx="2">
                  <c:v>0.46299729647846921</c:v>
                </c:pt>
                <c:pt idx="3">
                  <c:v>0.45689069583198549</c:v>
                </c:pt>
                <c:pt idx="4">
                  <c:v>0.42243200727898267</c:v>
                </c:pt>
                <c:pt idx="5">
                  <c:v>#N/A</c:v>
                </c:pt>
                <c:pt idx="6">
                  <c:v>#N/A</c:v>
                </c:pt>
                <c:pt idx="7">
                  <c:v>#N/A</c:v>
                </c:pt>
                <c:pt idx="8">
                  <c:v>#N/A</c:v>
                </c:pt>
                <c:pt idx="9">
                  <c:v>#N/A</c:v>
                </c:pt>
              </c:numCache>
            </c:numRef>
          </c:val>
          <c:extLst>
            <c:ext xmlns:c16="http://schemas.microsoft.com/office/drawing/2014/chart" uri="{C3380CC4-5D6E-409C-BE32-E72D297353CC}">
              <c16:uniqueId val="{00000001-AAEB-417C-ADB5-92FCBFC8E34F}"/>
            </c:ext>
          </c:extLst>
        </c:ser>
        <c:ser>
          <c:idx val="2"/>
          <c:order val="2"/>
          <c:tx>
            <c:strRef>
              <c:f>'Risk level table - 3rd page'!$L$2</c:f>
              <c:strCache>
                <c:ptCount val="1"/>
                <c:pt idx="0">
                  <c:v>High Risk</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page'!$L$3:$L$12</c:f>
              <c:numCache>
                <c:formatCode>General</c:formatCode>
                <c:ptCount val="10"/>
                <c:pt idx="0">
                  <c:v>0.6277766680118162</c:v>
                </c:pt>
                <c:pt idx="1">
                  <c:v>0.55363153549099575</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2-AAEB-417C-ADB5-92FCBFC8E34F}"/>
            </c:ext>
          </c:extLst>
        </c:ser>
        <c:dLbls>
          <c:dLblPos val="outEnd"/>
          <c:showLegendKey val="0"/>
          <c:showVal val="1"/>
          <c:showCatName val="0"/>
          <c:showSerName val="0"/>
          <c:showPercent val="0"/>
          <c:showBubbleSize val="0"/>
        </c:dLbls>
        <c:gapWidth val="182"/>
        <c:axId val="1622983647"/>
        <c:axId val="1622982399"/>
      </c:barChart>
      <c:catAx>
        <c:axId val="162298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82399"/>
        <c:crosses val="autoZero"/>
        <c:auto val="1"/>
        <c:lblAlgn val="ctr"/>
        <c:lblOffset val="100"/>
        <c:noMultiLvlLbl val="0"/>
      </c:catAx>
      <c:valAx>
        <c:axId val="162298239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crossAx val="16229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a:t>
            </a:r>
            <a:r>
              <a:rPr lang="en-US" baseline="0"/>
              <a:t> &amp; Decline Streaks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'Streak Calculations-3rd Page'!$J$1</c:f>
              <c:strCache>
                <c:ptCount val="1"/>
                <c:pt idx="0">
                  <c:v>Longest Growth Streak</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'Streak Calculations-3rd Page'!$I$2:$I$11</c:f>
              <c:strCache>
                <c:ptCount val="10"/>
                <c:pt idx="0">
                  <c:v>Cotton</c:v>
                </c:pt>
                <c:pt idx="1">
                  <c:v>Lumber</c:v>
                </c:pt>
                <c:pt idx="2">
                  <c:v>Oats</c:v>
                </c:pt>
                <c:pt idx="3">
                  <c:v>Soybean</c:v>
                </c:pt>
                <c:pt idx="4">
                  <c:v>Soybean Oil</c:v>
                </c:pt>
                <c:pt idx="5">
                  <c:v>Sugar</c:v>
                </c:pt>
                <c:pt idx="6">
                  <c:v>Coffee</c:v>
                </c:pt>
                <c:pt idx="7">
                  <c:v>Wheat</c:v>
                </c:pt>
                <c:pt idx="8">
                  <c:v>Corn</c:v>
                </c:pt>
                <c:pt idx="9">
                  <c:v>Copper</c:v>
                </c:pt>
              </c:strCache>
            </c:strRef>
          </c:cat>
          <c:val>
            <c:numRef>
              <c:f>'Streak Calculations-3rd Page'!$J$2:$J$11</c:f>
              <c:numCache>
                <c:formatCode>General</c:formatCode>
                <c:ptCount val="10"/>
                <c:pt idx="0">
                  <c:v>3</c:v>
                </c:pt>
                <c:pt idx="1">
                  <c:v>4</c:v>
                </c:pt>
                <c:pt idx="2">
                  <c:v>6</c:v>
                </c:pt>
                <c:pt idx="3">
                  <c:v>6</c:v>
                </c:pt>
                <c:pt idx="4">
                  <c:v>6</c:v>
                </c:pt>
                <c:pt idx="5">
                  <c:v>5</c:v>
                </c:pt>
                <c:pt idx="6">
                  <c:v>6</c:v>
                </c:pt>
                <c:pt idx="7">
                  <c:v>6</c:v>
                </c:pt>
                <c:pt idx="8">
                  <c:v>5</c:v>
                </c:pt>
                <c:pt idx="9">
                  <c:v>6</c:v>
                </c:pt>
              </c:numCache>
            </c:numRef>
          </c:val>
          <c:extLst>
            <c:ext xmlns:c16="http://schemas.microsoft.com/office/drawing/2014/chart" uri="{C3380CC4-5D6E-409C-BE32-E72D297353CC}">
              <c16:uniqueId val="{00000000-E38A-4E51-88AE-B0D1BCB5BAB6}"/>
            </c:ext>
          </c:extLst>
        </c:ser>
        <c:ser>
          <c:idx val="1"/>
          <c:order val="1"/>
          <c:tx>
            <c:strRef>
              <c:f>'Streak Calculations-3rd Page'!$K$1</c:f>
              <c:strCache>
                <c:ptCount val="1"/>
                <c:pt idx="0">
                  <c:v>Longest Decline Streak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'Streak Calculations-3rd Page'!$I$2:$I$11</c:f>
              <c:strCache>
                <c:ptCount val="10"/>
                <c:pt idx="0">
                  <c:v>Cotton</c:v>
                </c:pt>
                <c:pt idx="1">
                  <c:v>Lumber</c:v>
                </c:pt>
                <c:pt idx="2">
                  <c:v>Oats</c:v>
                </c:pt>
                <c:pt idx="3">
                  <c:v>Soybean</c:v>
                </c:pt>
                <c:pt idx="4">
                  <c:v>Soybean Oil</c:v>
                </c:pt>
                <c:pt idx="5">
                  <c:v>Sugar</c:v>
                </c:pt>
                <c:pt idx="6">
                  <c:v>Coffee</c:v>
                </c:pt>
                <c:pt idx="7">
                  <c:v>Wheat</c:v>
                </c:pt>
                <c:pt idx="8">
                  <c:v>Corn</c:v>
                </c:pt>
                <c:pt idx="9">
                  <c:v>Copper</c:v>
                </c:pt>
              </c:strCache>
            </c:strRef>
          </c:cat>
          <c:val>
            <c:numRef>
              <c:f>'Streak Calculations-3rd Page'!$K$2:$K$11</c:f>
              <c:numCache>
                <c:formatCode>General</c:formatCode>
                <c:ptCount val="10"/>
                <c:pt idx="0">
                  <c:v>5</c:v>
                </c:pt>
                <c:pt idx="1">
                  <c:v>3</c:v>
                </c:pt>
                <c:pt idx="2">
                  <c:v>3</c:v>
                </c:pt>
                <c:pt idx="3">
                  <c:v>4</c:v>
                </c:pt>
                <c:pt idx="4">
                  <c:v>5</c:v>
                </c:pt>
                <c:pt idx="5">
                  <c:v>4</c:v>
                </c:pt>
                <c:pt idx="6">
                  <c:v>3</c:v>
                </c:pt>
                <c:pt idx="7">
                  <c:v>4</c:v>
                </c:pt>
                <c:pt idx="8">
                  <c:v>5</c:v>
                </c:pt>
                <c:pt idx="9">
                  <c:v>5</c:v>
                </c:pt>
              </c:numCache>
            </c:numRef>
          </c:val>
          <c:extLst>
            <c:ext xmlns:c16="http://schemas.microsoft.com/office/drawing/2014/chart" uri="{C3380CC4-5D6E-409C-BE32-E72D297353CC}">
              <c16:uniqueId val="{00000001-E38A-4E51-88AE-B0D1BCB5BAB6}"/>
            </c:ext>
          </c:extLst>
        </c:ser>
        <c:dLbls>
          <c:dLblPos val="outEnd"/>
          <c:showLegendKey val="0"/>
          <c:showVal val="1"/>
          <c:showCatName val="0"/>
          <c:showSerName val="0"/>
          <c:showPercent val="0"/>
          <c:showBubbleSize val="0"/>
        </c:dLbls>
        <c:gapWidth val="182"/>
        <c:axId val="2120213679"/>
        <c:axId val="2120214095"/>
      </c:barChart>
      <c:catAx>
        <c:axId val="212021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14095"/>
        <c:crosses val="autoZero"/>
        <c:auto val="1"/>
        <c:lblAlgn val="ctr"/>
        <c:lblOffset val="100"/>
        <c:noMultiLvlLbl val="0"/>
      </c:catAx>
      <c:valAx>
        <c:axId val="21202140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021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Project_Final.xlsx]Streak Calculations-3rd Page!PivotTable13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Range %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'Streak Calculations-3rd Page'!$I$28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'Streak Calculations-3rd Page'!$H$29:$H$40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'Streak Calculations-3rd Page'!$I$29:$I$40</c:f>
              <c:numCache>
                <c:formatCode>0.00%;\-0.00%;0.00%</c:formatCode>
                <c:ptCount val="11"/>
                <c:pt idx="0">
                  <c:v>0.40856341723202927</c:v>
                </c:pt>
                <c:pt idx="1">
                  <c:v>0.33155399382174833</c:v>
                </c:pt>
                <c:pt idx="2">
                  <c:v>0.37099387680712204</c:v>
                </c:pt>
                <c:pt idx="3">
                  <c:v>0.29435211335938527</c:v>
                </c:pt>
                <c:pt idx="4">
                  <c:v>0.33381514522131084</c:v>
                </c:pt>
                <c:pt idx="5">
                  <c:v>0.27994311945084571</c:v>
                </c:pt>
                <c:pt idx="6">
                  <c:v>0.53647502335769182</c:v>
                </c:pt>
                <c:pt idx="7">
                  <c:v>0.57249915645437577</c:v>
                </c:pt>
                <c:pt idx="8">
                  <c:v>0.57002635171875915</c:v>
                </c:pt>
                <c:pt idx="9">
                  <c:v>0.44300241623616232</c:v>
                </c:pt>
                <c:pt idx="10">
                  <c:v>0.37860796193101964</c:v>
                </c:pt>
              </c:numCache>
            </c:numRef>
          </c:val>
          <c:smooth val="0"/>
          <c:extLst>
            <c:ext xmlns:c16="http://schemas.microsoft.com/office/drawing/2014/chart" uri="{C3380CC4-5D6E-409C-BE32-E72D297353CC}">
              <c16:uniqueId val="{00000000-3689-45EE-9D9E-4F7AB77CF0AD}"/>
            </c:ext>
          </c:extLst>
        </c:ser>
        <c:dLbls>
          <c:dLblPos val="t"/>
          <c:showLegendKey val="0"/>
          <c:showVal val="1"/>
          <c:showCatName val="0"/>
          <c:showSerName val="0"/>
          <c:showPercent val="0"/>
          <c:showBubbleSize val="0"/>
        </c:dLbls>
        <c:smooth val="0"/>
        <c:axId val="1910333935"/>
        <c:axId val="1910332271"/>
      </c:lineChart>
      <c:catAx>
        <c:axId val="191033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332271"/>
        <c:crosses val="autoZero"/>
        <c:auto val="1"/>
        <c:lblAlgn val="ctr"/>
        <c:lblOffset val="100"/>
        <c:noMultiLvlLbl val="0"/>
      </c:catAx>
      <c:valAx>
        <c:axId val="1910332271"/>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910333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Commodity Risk Ranking — Avg Annual Range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'Risk level table - 3rd page'!$J$2</c:f>
              <c:strCache>
                <c:ptCount val="1"/>
                <c:pt idx="0">
                  <c:v>Stable</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page'!$J$3:$J$12</c:f>
              <c:numCache>
                <c:formatCode>General</c:formatCode>
                <c:ptCount val="10"/>
                <c:pt idx="0">
                  <c:v>#N/A</c:v>
                </c:pt>
                <c:pt idx="1">
                  <c:v>#N/A</c:v>
                </c:pt>
                <c:pt idx="2">
                  <c:v>#N/A</c:v>
                </c:pt>
                <c:pt idx="3">
                  <c:v>#N/A</c:v>
                </c:pt>
                <c:pt idx="4">
                  <c:v>#N/A</c:v>
                </c:pt>
                <c:pt idx="5">
                  <c:v>0.39763937981331632</c:v>
                </c:pt>
                <c:pt idx="6">
                  <c:v>0.38449982896839419</c:v>
                </c:pt>
                <c:pt idx="7">
                  <c:v>0.37624896766507265</c:v>
                </c:pt>
                <c:pt idx="8">
                  <c:v>0.36391202734615152</c:v>
                </c:pt>
                <c:pt idx="9">
                  <c:v>0.35184772046106583</c:v>
                </c:pt>
              </c:numCache>
            </c:numRef>
          </c:val>
          <c:extLst>
            <c:ext xmlns:c16="http://schemas.microsoft.com/office/drawing/2014/chart" uri="{C3380CC4-5D6E-409C-BE32-E72D297353CC}">
              <c16:uniqueId val="{00000000-12A0-4EEC-833E-22FFF2CFF369}"/>
            </c:ext>
          </c:extLst>
        </c:ser>
        <c:ser>
          <c:idx val="1"/>
          <c:order val="1"/>
          <c:tx>
            <c:strRef>
              <c:f>'Risk level table - 3rd page'!$K$2</c:f>
              <c:strCache>
                <c:ptCount val="1"/>
                <c:pt idx="0">
                  <c:v>Moderate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page'!$K$3:$K$12</c:f>
              <c:numCache>
                <c:formatCode>General</c:formatCode>
                <c:ptCount val="10"/>
                <c:pt idx="0">
                  <c:v>#N/A</c:v>
                </c:pt>
                <c:pt idx="1">
                  <c:v>#N/A</c:v>
                </c:pt>
                <c:pt idx="2">
                  <c:v>0.46299729647846921</c:v>
                </c:pt>
                <c:pt idx="3">
                  <c:v>0.45689069583198549</c:v>
                </c:pt>
                <c:pt idx="4">
                  <c:v>0.42243200727898267</c:v>
                </c:pt>
                <c:pt idx="5">
                  <c:v>#N/A</c:v>
                </c:pt>
                <c:pt idx="6">
                  <c:v>#N/A</c:v>
                </c:pt>
                <c:pt idx="7">
                  <c:v>#N/A</c:v>
                </c:pt>
                <c:pt idx="8">
                  <c:v>#N/A</c:v>
                </c:pt>
                <c:pt idx="9">
                  <c:v>#N/A</c:v>
                </c:pt>
              </c:numCache>
            </c:numRef>
          </c:val>
          <c:extLst>
            <c:ext xmlns:c16="http://schemas.microsoft.com/office/drawing/2014/chart" uri="{C3380CC4-5D6E-409C-BE32-E72D297353CC}">
              <c16:uniqueId val="{00000001-12A0-4EEC-833E-22FFF2CFF369}"/>
            </c:ext>
          </c:extLst>
        </c:ser>
        <c:ser>
          <c:idx val="2"/>
          <c:order val="2"/>
          <c:tx>
            <c:strRef>
              <c:f>'Risk level table - 3rd page'!$L$2</c:f>
              <c:strCache>
                <c:ptCount val="1"/>
                <c:pt idx="0">
                  <c:v>High Risk</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level table - 3rd page'!$I$3:$I$12</c:f>
              <c:strCache>
                <c:ptCount val="10"/>
                <c:pt idx="0">
                  <c:v>Sugar</c:v>
                </c:pt>
                <c:pt idx="1">
                  <c:v>Coffee</c:v>
                </c:pt>
                <c:pt idx="2">
                  <c:v>Lumber</c:v>
                </c:pt>
                <c:pt idx="3">
                  <c:v>Oats</c:v>
                </c:pt>
                <c:pt idx="4">
                  <c:v>Cotton</c:v>
                </c:pt>
                <c:pt idx="5">
                  <c:v>Soybean Oil</c:v>
                </c:pt>
                <c:pt idx="6">
                  <c:v>Copper</c:v>
                </c:pt>
                <c:pt idx="7">
                  <c:v>Wheat</c:v>
                </c:pt>
                <c:pt idx="8">
                  <c:v>Soybean</c:v>
                </c:pt>
                <c:pt idx="9">
                  <c:v>Corn</c:v>
                </c:pt>
              </c:strCache>
            </c:strRef>
          </c:cat>
          <c:val>
            <c:numRef>
              <c:f>'Risk level table - 3rd page'!$L$3:$L$12</c:f>
              <c:numCache>
                <c:formatCode>General</c:formatCode>
                <c:ptCount val="10"/>
                <c:pt idx="0">
                  <c:v>0.6277766680118162</c:v>
                </c:pt>
                <c:pt idx="1">
                  <c:v>0.55363153549099575</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2-12A0-4EEC-833E-22FFF2CFF369}"/>
            </c:ext>
          </c:extLst>
        </c:ser>
        <c:dLbls>
          <c:dLblPos val="outEnd"/>
          <c:showLegendKey val="0"/>
          <c:showVal val="1"/>
          <c:showCatName val="0"/>
          <c:showSerName val="0"/>
          <c:showPercent val="0"/>
          <c:showBubbleSize val="0"/>
        </c:dLbls>
        <c:gapWidth val="182"/>
        <c:axId val="1622983647"/>
        <c:axId val="1622982399"/>
      </c:barChart>
      <c:catAx>
        <c:axId val="162298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982399"/>
        <c:crosses val="autoZero"/>
        <c:auto val="1"/>
        <c:lblAlgn val="ctr"/>
        <c:lblOffset val="100"/>
        <c:noMultiLvlLbl val="0"/>
      </c:catAx>
      <c:valAx>
        <c:axId val="162298239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crossAx val="162298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Range % vs Annual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'change % vs range %-2nd p'!$C$49</c:f>
              <c:strCache>
                <c:ptCount val="1"/>
                <c:pt idx="0">
                  <c:v>Average Annual Range %</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3BB85556-D4DA-4A59-AE28-AFD586D5CE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94F-449E-AD0F-9BE059BC412A}"/>
                </c:ext>
              </c:extLst>
            </c:dLbl>
            <c:dLbl>
              <c:idx val="1"/>
              <c:tx>
                <c:rich>
                  <a:bodyPr/>
                  <a:lstStyle/>
                  <a:p>
                    <a:fld id="{21042E38-973D-4D91-86D5-C28C893E3B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94F-449E-AD0F-9BE059BC412A}"/>
                </c:ext>
              </c:extLst>
            </c:dLbl>
            <c:dLbl>
              <c:idx val="2"/>
              <c:tx>
                <c:rich>
                  <a:bodyPr/>
                  <a:lstStyle/>
                  <a:p>
                    <a:fld id="{3ACF7AED-87E6-441E-9E00-584D8F6CB21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94F-449E-AD0F-9BE059BC412A}"/>
                </c:ext>
              </c:extLst>
            </c:dLbl>
            <c:dLbl>
              <c:idx val="3"/>
              <c:tx>
                <c:rich>
                  <a:bodyPr/>
                  <a:lstStyle/>
                  <a:p>
                    <a:fld id="{F1B0F1AA-40AB-4B7B-BC1C-55086D068B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94F-449E-AD0F-9BE059BC412A}"/>
                </c:ext>
              </c:extLst>
            </c:dLbl>
            <c:dLbl>
              <c:idx val="4"/>
              <c:tx>
                <c:rich>
                  <a:bodyPr/>
                  <a:lstStyle/>
                  <a:p>
                    <a:fld id="{EA161BA2-A7E3-48CF-A618-BC00925253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94F-449E-AD0F-9BE059BC412A}"/>
                </c:ext>
              </c:extLst>
            </c:dLbl>
            <c:dLbl>
              <c:idx val="5"/>
              <c:tx>
                <c:rich>
                  <a:bodyPr/>
                  <a:lstStyle/>
                  <a:p>
                    <a:fld id="{49451456-26DD-4310-897B-4A89F25419C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94F-449E-AD0F-9BE059BC412A}"/>
                </c:ext>
              </c:extLst>
            </c:dLbl>
            <c:dLbl>
              <c:idx val="6"/>
              <c:tx>
                <c:rich>
                  <a:bodyPr/>
                  <a:lstStyle/>
                  <a:p>
                    <a:fld id="{58279F72-3BCE-4B9E-A55D-7D02150E00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94F-449E-AD0F-9BE059BC412A}"/>
                </c:ext>
              </c:extLst>
            </c:dLbl>
            <c:dLbl>
              <c:idx val="7"/>
              <c:tx>
                <c:rich>
                  <a:bodyPr/>
                  <a:lstStyle/>
                  <a:p>
                    <a:fld id="{D82C96C7-2297-42FF-B3FE-CB5C158ADB0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94F-449E-AD0F-9BE059BC412A}"/>
                </c:ext>
              </c:extLst>
            </c:dLbl>
            <c:dLbl>
              <c:idx val="8"/>
              <c:tx>
                <c:rich>
                  <a:bodyPr/>
                  <a:lstStyle/>
                  <a:p>
                    <a:fld id="{B449A528-CAB1-427F-BBD7-D443813B4A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94F-449E-AD0F-9BE059BC412A}"/>
                </c:ext>
              </c:extLst>
            </c:dLbl>
            <c:dLbl>
              <c:idx val="9"/>
              <c:tx>
                <c:rich>
                  <a:bodyPr/>
                  <a:lstStyle/>
                  <a:p>
                    <a:fld id="{BF6CDFE8-45E7-4AB3-B468-8251DEE70B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94F-449E-AD0F-9BE059BC41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'change % vs range %-2nd p'!$B$50:$B$59</c:f>
              <c:numCache>
                <c:formatCode>0.0%</c:formatCode>
                <c:ptCount val="10"/>
                <c:pt idx="0">
                  <c:v>9.1409803921568625E-2</c:v>
                </c:pt>
                <c:pt idx="1">
                  <c:v>8.4229230769230765E-2</c:v>
                </c:pt>
                <c:pt idx="2">
                  <c:v>4.786E-2</c:v>
                </c:pt>
                <c:pt idx="3">
                  <c:v>6.4709615384615379E-2</c:v>
                </c:pt>
                <c:pt idx="4">
                  <c:v>6.3019230769230772E-2</c:v>
                </c:pt>
                <c:pt idx="5">
                  <c:v>6.5946296296296295E-2</c:v>
                </c:pt>
                <c:pt idx="6">
                  <c:v>5.3800000000000001E-2</c:v>
                </c:pt>
                <c:pt idx="7">
                  <c:v>7.3374999999999996E-2</c:v>
                </c:pt>
                <c:pt idx="8">
                  <c:v>0.13861774193548387</c:v>
                </c:pt>
                <c:pt idx="9">
                  <c:v>4.8221538461538462E-2</c:v>
                </c:pt>
              </c:numCache>
            </c:numRef>
          </c:xVal>
          <c:yVal>
            <c:numRef>
              <c:f>'change % vs range %-2nd p'!$C$50:$C$59</c:f>
              <c:numCache>
                <c:formatCode>0.0%</c:formatCode>
                <c:ptCount val="10"/>
                <c:pt idx="0">
                  <c:v>0.55363153549099575</c:v>
                </c:pt>
                <c:pt idx="1">
                  <c:v>0.38449982896839419</c:v>
                </c:pt>
                <c:pt idx="2">
                  <c:v>0.35184772046106583</c:v>
                </c:pt>
                <c:pt idx="3">
                  <c:v>0.42243200727898267</c:v>
                </c:pt>
                <c:pt idx="4">
                  <c:v>0.46299729647846921</c:v>
                </c:pt>
                <c:pt idx="5">
                  <c:v>0.45689069583198549</c:v>
                </c:pt>
                <c:pt idx="6">
                  <c:v>0.36391202734615152</c:v>
                </c:pt>
                <c:pt idx="7">
                  <c:v>0.39763937981331632</c:v>
                </c:pt>
                <c:pt idx="8">
                  <c:v>0.6277766680118162</c:v>
                </c:pt>
                <c:pt idx="9">
                  <c:v>0.37624896766507265</c:v>
                </c:pt>
              </c:numCache>
            </c:numRef>
          </c:yVal>
          <c:smooth val="0"/>
          <c:extLst>
            <c:ext xmlns:c15="http://schemas.microsoft.com/office/drawing/2012/chart" uri="{02D57815-91ED-43cb-92C2-25804820EDAC}">
              <c15:datalabelsRange>
                <c15:f>'change % vs range %-2nd p'!$A$50:$A$59</c15:f>
                <c15:dlblRangeCache>
                  <c:ptCount val="10"/>
                  <c:pt idx="0">
                    <c:v>Coffee</c:v>
                  </c:pt>
                  <c:pt idx="1">
                    <c:v>Copper</c:v>
                  </c:pt>
                  <c:pt idx="2">
                    <c:v>Corn</c:v>
                  </c:pt>
                  <c:pt idx="3">
                    <c:v>Cotton</c:v>
                  </c:pt>
                  <c:pt idx="4">
                    <c:v>Lumber</c:v>
                  </c:pt>
                  <c:pt idx="5">
                    <c:v>Oats</c:v>
                  </c:pt>
                  <c:pt idx="6">
                    <c:v>Soybean</c:v>
                  </c:pt>
                  <c:pt idx="7">
                    <c:v>Soybean Oil</c:v>
                  </c:pt>
                  <c:pt idx="8">
                    <c:v>Sugar</c:v>
                  </c:pt>
                  <c:pt idx="9">
                    <c:v>Wheat</c:v>
                  </c:pt>
                </c15:dlblRangeCache>
              </c15:datalabelsRange>
            </c:ext>
            <c:ext xmlns:c16="http://schemas.microsoft.com/office/drawing/2014/chart" uri="{C3380CC4-5D6E-409C-BE32-E72D297353CC}">
              <c16:uniqueId val="{00000000-C94F-449E-AD0F-9BE059BC412A}"/>
            </c:ext>
          </c:extLst>
        </c:ser>
        <c:dLbls>
          <c:showLegendKey val="0"/>
          <c:showVal val="1"/>
          <c:showCatName val="0"/>
          <c:showSerName val="0"/>
          <c:showPercent val="0"/>
          <c:showBubbleSize val="0"/>
        </c:dLbls>
        <c:axId val="1616177823"/>
        <c:axId val="1616175327"/>
      </c:scatterChart>
      <c:valAx>
        <c:axId val="161617782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75327"/>
        <c:crosses val="autoZero"/>
        <c:crossBetween val="midCat"/>
      </c:valAx>
      <c:valAx>
        <c:axId val="16161753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1778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Project_Final.xlsx]change % vs range %-2nd p!PivotTable8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Commodities Ranked by Avg Annual</a:t>
            </a:r>
            <a:r>
              <a:rPr lang="en-US" baseline="0"/>
              <a:t> Range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'change % vs range %-2nd 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'change % vs range %-2nd p'!$A$4:$A$5</c:f>
              <c:strCache>
                <c:ptCount val="1"/>
                <c:pt idx="0">
                  <c:v>Copper</c:v>
                </c:pt>
              </c:strCache>
            </c:strRef>
          </c:cat>
          <c:val>
            <c:numRef>
              <c:f>'change % vs range %-2nd p'!$B$4:$B$5</c:f>
              <c:numCache>
                <c:formatCode>0.00%;\-0.00%;0.00%</c:formatCode>
                <c:ptCount val="1"/>
                <c:pt idx="0">
                  <c:v>0.38449982896839419</c:v>
                </c:pt>
              </c:numCache>
            </c:numRef>
          </c:val>
          <c:extLst>
            <c:ext xmlns:c16="http://schemas.microsoft.com/office/drawing/2014/chart" uri="{C3380CC4-5D6E-409C-BE32-E72D297353CC}">
              <c16:uniqueId val="{00000000-0E39-4D25-80ED-4690BAA02E99}"/>
            </c:ext>
          </c:extLst>
        </c:ser>
        <c:dLbls>
          <c:showLegendKey val="0"/>
          <c:showVal val="1"/>
          <c:showCatName val="0"/>
          <c:showSerName val="0"/>
          <c:showPercent val="0"/>
          <c:showBubbleSize val="0"/>
        </c:dLbls>
        <c:gapWidth val="150"/>
        <c:axId val="692863151"/>
        <c:axId val="692866895"/>
      </c:barChart>
      <c:catAx>
        <c:axId val="692863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66895"/>
        <c:crosses val="autoZero"/>
        <c:auto val="1"/>
        <c:lblAlgn val="ctr"/>
        <c:lblOffset val="100"/>
        <c:noMultiLvlLbl val="0"/>
      </c:catAx>
      <c:valAx>
        <c:axId val="69286689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6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Project_Final.xlsx]OHLC Trend-Price Performance!PivotTable3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OHLC</a:t>
            </a:r>
            <a:r>
              <a:rPr lang="en-US" baseline="0"/>
              <a:t> Price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'OHLC Trend-Price Performance'!$B$1</c:f>
              <c:strCache>
                <c:ptCount val="1"/>
                <c:pt idx="0">
                  <c:v>Average Opening Price</c:v>
                </c:pt>
              </c:strCache>
            </c:strRef>
          </c:tx>
          <c:spPr>
            <a:ln w="28575" cap="rnd">
              <a:solidFill>
                <a:schemeClr val="accent1"/>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Performance'!$B$2:$B$67</c:f>
              <c:numCache>
                <c:formatCode>\$#,##0.00;\(\$#,##0.00\);\$#,##0.00</c:formatCode>
                <c:ptCount val="65"/>
                <c:pt idx="0">
                  <c:v>0.31869999999999998</c:v>
                </c:pt>
                <c:pt idx="1">
                  <c:v>0.2767</c:v>
                </c:pt>
                <c:pt idx="2">
                  <c:v>0.3019</c:v>
                </c:pt>
                <c:pt idx="3">
                  <c:v>0.28699999999999998</c:v>
                </c:pt>
                <c:pt idx="4">
                  <c:v>0.30549999999999999</c:v>
                </c:pt>
                <c:pt idx="5">
                  <c:v>0.378</c:v>
                </c:pt>
                <c:pt idx="6">
                  <c:v>0.58699999999999997</c:v>
                </c:pt>
                <c:pt idx="7">
                  <c:v>0.55200000000000005</c:v>
                </c:pt>
                <c:pt idx="8">
                  <c:v>0.57999999999999996</c:v>
                </c:pt>
                <c:pt idx="9">
                  <c:v>0.51449999999999996</c:v>
                </c:pt>
                <c:pt idx="10">
                  <c:v>0.71799999999999997</c:v>
                </c:pt>
                <c:pt idx="11">
                  <c:v>0.46850000000000003</c:v>
                </c:pt>
                <c:pt idx="12">
                  <c:v>0.48649999999999999</c:v>
                </c:pt>
                <c:pt idx="13">
                  <c:v>0.502</c:v>
                </c:pt>
                <c:pt idx="14">
                  <c:v>0.85599999999999998</c:v>
                </c:pt>
                <c:pt idx="15">
                  <c:v>0.53100000000000003</c:v>
                </c:pt>
                <c:pt idx="16">
                  <c:v>0.55800000000000005</c:v>
                </c:pt>
                <c:pt idx="17">
                  <c:v>0.64400000000000002</c:v>
                </c:pt>
                <c:pt idx="18">
                  <c:v>0.61299999999999999</c:v>
                </c:pt>
                <c:pt idx="19">
                  <c:v>0.70050000000000001</c:v>
                </c:pt>
                <c:pt idx="20">
                  <c:v>1.1020000000000001</c:v>
                </c:pt>
                <c:pt idx="21">
                  <c:v>0.88</c:v>
                </c:pt>
                <c:pt idx="22">
                  <c:v>0.75900000000000001</c:v>
                </c:pt>
                <c:pt idx="23">
                  <c:v>0.71299999999999997</c:v>
                </c:pt>
                <c:pt idx="24">
                  <c:v>0.65949999999999998</c:v>
                </c:pt>
                <c:pt idx="25">
                  <c:v>0.56399999999999995</c:v>
                </c:pt>
                <c:pt idx="26">
                  <c:v>0.64349999999999996</c:v>
                </c:pt>
                <c:pt idx="27">
                  <c:v>0.61350000000000005</c:v>
                </c:pt>
                <c:pt idx="28">
                  <c:v>1.2549999999999999</c:v>
                </c:pt>
                <c:pt idx="29">
                  <c:v>1.367</c:v>
                </c:pt>
                <c:pt idx="30">
                  <c:v>1.0620000000000001</c:v>
                </c:pt>
                <c:pt idx="31">
                  <c:v>1.1930000000000001</c:v>
                </c:pt>
                <c:pt idx="32">
                  <c:v>0.95699999999999996</c:v>
                </c:pt>
                <c:pt idx="33">
                  <c:v>1.0640000000000001</c:v>
                </c:pt>
                <c:pt idx="34">
                  <c:v>0.80249999999999999</c:v>
                </c:pt>
                <c:pt idx="35">
                  <c:v>1.337</c:v>
                </c:pt>
                <c:pt idx="36">
                  <c:v>1.181</c:v>
                </c:pt>
                <c:pt idx="37">
                  <c:v>1.0215000000000001</c:v>
                </c:pt>
                <c:pt idx="38">
                  <c:v>0.77449999999999997</c:v>
                </c:pt>
                <c:pt idx="39">
                  <c:v>0.65400000000000003</c:v>
                </c:pt>
                <c:pt idx="40">
                  <c:v>0.84799999999999998</c:v>
                </c:pt>
                <c:pt idx="41">
                  <c:v>0.8115</c:v>
                </c:pt>
                <c:pt idx="42">
                  <c:v>0.65800000000000003</c:v>
                </c:pt>
                <c:pt idx="43">
                  <c:v>0.71799999999999997</c:v>
                </c:pt>
                <c:pt idx="44">
                  <c:v>1.087</c:v>
                </c:pt>
                <c:pt idx="45">
                  <c:v>1.4735</c:v>
                </c:pt>
                <c:pt idx="46">
                  <c:v>2.0485000000000002</c:v>
                </c:pt>
                <c:pt idx="47">
                  <c:v>2.649</c:v>
                </c:pt>
                <c:pt idx="48">
                  <c:v>3.0640000000000001</c:v>
                </c:pt>
                <c:pt idx="49">
                  <c:v>1.4610000000000001</c:v>
                </c:pt>
                <c:pt idx="50">
                  <c:v>3.4060000000000001</c:v>
                </c:pt>
                <c:pt idx="51">
                  <c:v>4.4574999999999996</c:v>
                </c:pt>
                <c:pt idx="52">
                  <c:v>3.5285000000000002</c:v>
                </c:pt>
                <c:pt idx="53">
                  <c:v>3.7360000000000002</c:v>
                </c:pt>
                <c:pt idx="54">
                  <c:v>3.3815</c:v>
                </c:pt>
                <c:pt idx="55">
                  <c:v>2.8174999999999999</c:v>
                </c:pt>
                <c:pt idx="56">
                  <c:v>2.0794999999999999</c:v>
                </c:pt>
                <c:pt idx="57">
                  <c:v>2.4889999999999999</c:v>
                </c:pt>
                <c:pt idx="58">
                  <c:v>3.278</c:v>
                </c:pt>
                <c:pt idx="59">
                  <c:v>2.6230000000000002</c:v>
                </c:pt>
                <c:pt idx="60">
                  <c:v>2.8250000000000002</c:v>
                </c:pt>
                <c:pt idx="61">
                  <c:v>3.5545</c:v>
                </c:pt>
                <c:pt idx="62">
                  <c:v>4.4215</c:v>
                </c:pt>
                <c:pt idx="63">
                  <c:v>3.8191999999999999</c:v>
                </c:pt>
                <c:pt idx="64">
                  <c:v>3.8912</c:v>
                </c:pt>
              </c:numCache>
            </c:numRef>
          </c:val>
          <c:smooth val="0"/>
          <c:extLst>
            <c:ext xmlns:c16="http://schemas.microsoft.com/office/drawing/2014/chart" uri="{C3380CC4-5D6E-409C-BE32-E72D297353CC}">
              <c16:uniqueId val="{00000006-3448-459A-A7A2-84A4F7917AC6}"/>
            </c:ext>
          </c:extLst>
        </c:ser>
        <c:ser>
          <c:idx val="1"/>
          <c:order val="1"/>
          <c:tx>
            <c:strRef>
              <c:f>'OHLC Trend-Price Performance'!$C$1</c:f>
              <c:strCache>
                <c:ptCount val="1"/>
                <c:pt idx="0">
                  <c:v>Average Closing Price</c:v>
                </c:pt>
              </c:strCache>
            </c:strRef>
          </c:tx>
          <c:spPr>
            <a:ln w="28575" cap="rnd">
              <a:solidFill>
                <a:schemeClr val="accent2"/>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Performance'!$C$2:$C$67</c:f>
              <c:numCache>
                <c:formatCode>\$#,##0.00;\(\$#,##0.00\);\$#,##0.00</c:formatCode>
                <c:ptCount val="65"/>
                <c:pt idx="0">
                  <c:v>0.27729999999999999</c:v>
                </c:pt>
                <c:pt idx="1">
                  <c:v>0.30149999999999999</c:v>
                </c:pt>
                <c:pt idx="2">
                  <c:v>0.28789999999999999</c:v>
                </c:pt>
                <c:pt idx="3">
                  <c:v>0.30459999999999998</c:v>
                </c:pt>
                <c:pt idx="4">
                  <c:v>0.3715</c:v>
                </c:pt>
                <c:pt idx="5">
                  <c:v>0.57569999999999999</c:v>
                </c:pt>
                <c:pt idx="6">
                  <c:v>0.5403</c:v>
                </c:pt>
                <c:pt idx="7">
                  <c:v>0.57579999999999998</c:v>
                </c:pt>
                <c:pt idx="8">
                  <c:v>0.50829999999999997</c:v>
                </c:pt>
                <c:pt idx="9">
                  <c:v>0.73029999999999995</c:v>
                </c:pt>
                <c:pt idx="10">
                  <c:v>0.46460000000000001</c:v>
                </c:pt>
                <c:pt idx="11">
                  <c:v>0.48609999999999998</c:v>
                </c:pt>
                <c:pt idx="12">
                  <c:v>0.50080000000000002</c:v>
                </c:pt>
                <c:pt idx="13">
                  <c:v>0.86719999999999997</c:v>
                </c:pt>
                <c:pt idx="14">
                  <c:v>0.53359999999999996</c:v>
                </c:pt>
                <c:pt idx="15">
                  <c:v>0.55159999999999998</c:v>
                </c:pt>
                <c:pt idx="16">
                  <c:v>0.63039999999999996</c:v>
                </c:pt>
                <c:pt idx="17">
                  <c:v>0.60140000000000005</c:v>
                </c:pt>
                <c:pt idx="18">
                  <c:v>0.70760000000000001</c:v>
                </c:pt>
                <c:pt idx="19">
                  <c:v>1.0486</c:v>
                </c:pt>
                <c:pt idx="20">
                  <c:v>0.8599</c:v>
                </c:pt>
                <c:pt idx="21">
                  <c:v>0.75339999999999996</c:v>
                </c:pt>
                <c:pt idx="22">
                  <c:v>0.69389999999999996</c:v>
                </c:pt>
                <c:pt idx="23">
                  <c:v>0.66749999999999998</c:v>
                </c:pt>
                <c:pt idx="24">
                  <c:v>0.57040000000000002</c:v>
                </c:pt>
                <c:pt idx="25">
                  <c:v>0.64</c:v>
                </c:pt>
                <c:pt idx="26">
                  <c:v>0.61</c:v>
                </c:pt>
                <c:pt idx="27">
                  <c:v>1.3111999999999999</c:v>
                </c:pt>
                <c:pt idx="28">
                  <c:v>1.387</c:v>
                </c:pt>
                <c:pt idx="29">
                  <c:v>1.0650999999999999</c:v>
                </c:pt>
                <c:pt idx="30">
                  <c:v>1.1714</c:v>
                </c:pt>
                <c:pt idx="31">
                  <c:v>0.9738</c:v>
                </c:pt>
                <c:pt idx="32">
                  <c:v>1.0344</c:v>
                </c:pt>
                <c:pt idx="33">
                  <c:v>0.83230000000000004</c:v>
                </c:pt>
                <c:pt idx="34">
                  <c:v>1.3895</c:v>
                </c:pt>
                <c:pt idx="35">
                  <c:v>1.2165999999999999</c:v>
                </c:pt>
                <c:pt idx="36">
                  <c:v>1.0077</c:v>
                </c:pt>
                <c:pt idx="37">
                  <c:v>0.77859999999999996</c:v>
                </c:pt>
                <c:pt idx="38">
                  <c:v>0.67030000000000001</c:v>
                </c:pt>
                <c:pt idx="39">
                  <c:v>0.8609</c:v>
                </c:pt>
                <c:pt idx="40">
                  <c:v>0.84370000000000001</c:v>
                </c:pt>
                <c:pt idx="41">
                  <c:v>0.65780000000000005</c:v>
                </c:pt>
                <c:pt idx="42">
                  <c:v>0.70140000000000002</c:v>
                </c:pt>
                <c:pt idx="43">
                  <c:v>1.0449999999999999</c:v>
                </c:pt>
                <c:pt idx="44">
                  <c:v>1.4594</c:v>
                </c:pt>
                <c:pt idx="45">
                  <c:v>2.0659000000000001</c:v>
                </c:pt>
                <c:pt idx="46">
                  <c:v>2.8675999999999999</c:v>
                </c:pt>
                <c:pt idx="47">
                  <c:v>3.0388999999999999</c:v>
                </c:pt>
                <c:pt idx="48">
                  <c:v>1.407</c:v>
                </c:pt>
                <c:pt idx="49">
                  <c:v>3.3426999999999998</c:v>
                </c:pt>
                <c:pt idx="50">
                  <c:v>4.4455</c:v>
                </c:pt>
                <c:pt idx="51">
                  <c:v>3.4350999999999998</c:v>
                </c:pt>
                <c:pt idx="52">
                  <c:v>3.6501999999999999</c:v>
                </c:pt>
                <c:pt idx="53">
                  <c:v>3.4055</c:v>
                </c:pt>
                <c:pt idx="54">
                  <c:v>2.8281000000000001</c:v>
                </c:pt>
                <c:pt idx="55">
                  <c:v>2.1331000000000002</c:v>
                </c:pt>
                <c:pt idx="56">
                  <c:v>2.5038999999999998</c:v>
                </c:pt>
                <c:pt idx="57">
                  <c:v>3.2963</c:v>
                </c:pt>
                <c:pt idx="58">
                  <c:v>2.6303999999999998</c:v>
                </c:pt>
                <c:pt idx="59">
                  <c:v>2.7964000000000002</c:v>
                </c:pt>
                <c:pt idx="60">
                  <c:v>3.5179999999999998</c:v>
                </c:pt>
                <c:pt idx="61">
                  <c:v>4.4618000000000002</c:v>
                </c:pt>
                <c:pt idx="62">
                  <c:v>3.8191999999999999</c:v>
                </c:pt>
                <c:pt idx="63">
                  <c:v>3.8912</c:v>
                </c:pt>
                <c:pt idx="64">
                  <c:v>4.4463999999999997</c:v>
                </c:pt>
              </c:numCache>
            </c:numRef>
          </c:val>
          <c:smooth val="0"/>
          <c:extLst>
            <c:ext xmlns:c16="http://schemas.microsoft.com/office/drawing/2014/chart" uri="{C3380CC4-5D6E-409C-BE32-E72D297353CC}">
              <c16:uniqueId val="{00000007-3448-459A-A7A2-84A4F7917AC6}"/>
            </c:ext>
          </c:extLst>
        </c:ser>
        <c:ser>
          <c:idx val="2"/>
          <c:order val="2"/>
          <c:tx>
            <c:strRef>
              <c:f>'OHLC Trend-Price Performance'!$D$1</c:f>
              <c:strCache>
                <c:ptCount val="1"/>
                <c:pt idx="0">
                  <c:v>Average High Price</c:v>
                </c:pt>
              </c:strCache>
            </c:strRef>
          </c:tx>
          <c:spPr>
            <a:ln w="28575" cap="rnd">
              <a:solidFill>
                <a:schemeClr val="accent3"/>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Performance'!$D$2:$D$67</c:f>
              <c:numCache>
                <c:formatCode>\$#,##0.00;\(\$#,##0.00\);\$#,##0.00</c:formatCode>
                <c:ptCount val="65"/>
                <c:pt idx="0">
                  <c:v>0.3286</c:v>
                </c:pt>
                <c:pt idx="1">
                  <c:v>0.3276</c:v>
                </c:pt>
                <c:pt idx="2">
                  <c:v>0.3075</c:v>
                </c:pt>
                <c:pt idx="3">
                  <c:v>0.30459999999999998</c:v>
                </c:pt>
                <c:pt idx="4">
                  <c:v>0.58950000000000002</c:v>
                </c:pt>
                <c:pt idx="5">
                  <c:v>0.60450000000000004</c:v>
                </c:pt>
                <c:pt idx="6">
                  <c:v>0.82699999999999996</c:v>
                </c:pt>
                <c:pt idx="7">
                  <c:v>0.64529999999999998</c:v>
                </c:pt>
                <c:pt idx="8">
                  <c:v>0.74</c:v>
                </c:pt>
                <c:pt idx="9">
                  <c:v>0.74399999999999999</c:v>
                </c:pt>
                <c:pt idx="10">
                  <c:v>0.77100000000000002</c:v>
                </c:pt>
                <c:pt idx="11">
                  <c:v>0.58599999999999997</c:v>
                </c:pt>
                <c:pt idx="12">
                  <c:v>0.53300000000000003</c:v>
                </c:pt>
                <c:pt idx="13">
                  <c:v>1.0585</c:v>
                </c:pt>
                <c:pt idx="14">
                  <c:v>1.383</c:v>
                </c:pt>
                <c:pt idx="15">
                  <c:v>0.629</c:v>
                </c:pt>
                <c:pt idx="16">
                  <c:v>0.78300000000000003</c:v>
                </c:pt>
                <c:pt idx="17">
                  <c:v>0.72399999999999998</c:v>
                </c:pt>
                <c:pt idx="18">
                  <c:v>0.70760000000000001</c:v>
                </c:pt>
                <c:pt idx="19">
                  <c:v>1.1299999999999999</c:v>
                </c:pt>
                <c:pt idx="20">
                  <c:v>1.43</c:v>
                </c:pt>
                <c:pt idx="21">
                  <c:v>0.90900000000000003</c:v>
                </c:pt>
                <c:pt idx="22">
                  <c:v>0.75900000000000001</c:v>
                </c:pt>
                <c:pt idx="23">
                  <c:v>0.81499999999999995</c:v>
                </c:pt>
                <c:pt idx="24">
                  <c:v>0.71750000000000003</c:v>
                </c:pt>
                <c:pt idx="25">
                  <c:v>0.65900000000000003</c:v>
                </c:pt>
                <c:pt idx="26">
                  <c:v>0.68600000000000005</c:v>
                </c:pt>
                <c:pt idx="27">
                  <c:v>1.37</c:v>
                </c:pt>
                <c:pt idx="28">
                  <c:v>1.56</c:v>
                </c:pt>
                <c:pt idx="29">
                  <c:v>1.4955000000000001</c:v>
                </c:pt>
                <c:pt idx="30">
                  <c:v>1.3354999999999999</c:v>
                </c:pt>
                <c:pt idx="31">
                  <c:v>1.1930000000000001</c:v>
                </c:pt>
                <c:pt idx="32">
                  <c:v>1.1635</c:v>
                </c:pt>
                <c:pt idx="33">
                  <c:v>1.0760000000000001</c:v>
                </c:pt>
                <c:pt idx="34">
                  <c:v>1.3895</c:v>
                </c:pt>
                <c:pt idx="35">
                  <c:v>1.4575</c:v>
                </c:pt>
                <c:pt idx="36">
                  <c:v>1.2555000000000001</c:v>
                </c:pt>
                <c:pt idx="37">
                  <c:v>1.222</c:v>
                </c:pt>
                <c:pt idx="38">
                  <c:v>0.85650000000000004</c:v>
                </c:pt>
                <c:pt idx="39">
                  <c:v>0.8609</c:v>
                </c:pt>
                <c:pt idx="40">
                  <c:v>0.93600000000000005</c:v>
                </c:pt>
                <c:pt idx="41">
                  <c:v>0.86150000000000004</c:v>
                </c:pt>
                <c:pt idx="42">
                  <c:v>0.78600000000000003</c:v>
                </c:pt>
                <c:pt idx="43">
                  <c:v>1.0449999999999999</c:v>
                </c:pt>
                <c:pt idx="44">
                  <c:v>1.4758</c:v>
                </c:pt>
                <c:pt idx="45">
                  <c:v>2.1678999999999999</c:v>
                </c:pt>
                <c:pt idx="46">
                  <c:v>3.923</c:v>
                </c:pt>
                <c:pt idx="47">
                  <c:v>3.7635000000000001</c:v>
                </c:pt>
                <c:pt idx="48">
                  <c:v>4.0635000000000003</c:v>
                </c:pt>
                <c:pt idx="49">
                  <c:v>3.3426999999999998</c:v>
                </c:pt>
                <c:pt idx="50">
                  <c:v>4.4455</c:v>
                </c:pt>
                <c:pt idx="51">
                  <c:v>4.6284999999999998</c:v>
                </c:pt>
                <c:pt idx="52">
                  <c:v>3.9784999999999999</c:v>
                </c:pt>
                <c:pt idx="53">
                  <c:v>3.7845</c:v>
                </c:pt>
                <c:pt idx="54">
                  <c:v>3.3815</c:v>
                </c:pt>
                <c:pt idx="55">
                  <c:v>2.9350000000000001</c:v>
                </c:pt>
                <c:pt idx="56">
                  <c:v>2.6915</c:v>
                </c:pt>
                <c:pt idx="57">
                  <c:v>3.2995000000000001</c:v>
                </c:pt>
                <c:pt idx="58">
                  <c:v>3.3</c:v>
                </c:pt>
                <c:pt idx="59">
                  <c:v>2.9674999999999998</c:v>
                </c:pt>
                <c:pt idx="60">
                  <c:v>3.6274999999999999</c:v>
                </c:pt>
                <c:pt idx="61">
                  <c:v>4.7619999999999996</c:v>
                </c:pt>
                <c:pt idx="62">
                  <c:v>4.9375</c:v>
                </c:pt>
                <c:pt idx="63">
                  <c:v>4.2864000000000004</c:v>
                </c:pt>
                <c:pt idx="64">
                  <c:v>5.1055999999999999</c:v>
                </c:pt>
              </c:numCache>
            </c:numRef>
          </c:val>
          <c:smooth val="0"/>
          <c:extLst>
            <c:ext xmlns:c16="http://schemas.microsoft.com/office/drawing/2014/chart" uri="{C3380CC4-5D6E-409C-BE32-E72D297353CC}">
              <c16:uniqueId val="{00000008-3448-459A-A7A2-84A4F7917AC6}"/>
            </c:ext>
          </c:extLst>
        </c:ser>
        <c:ser>
          <c:idx val="3"/>
          <c:order val="3"/>
          <c:tx>
            <c:strRef>
              <c:f>'OHLC Trend-Price Performance'!$E$1</c:f>
              <c:strCache>
                <c:ptCount val="1"/>
                <c:pt idx="0">
                  <c:v>Average Low Price</c:v>
                </c:pt>
              </c:strCache>
            </c:strRef>
          </c:tx>
          <c:spPr>
            <a:ln w="28575" cap="rnd">
              <a:solidFill>
                <a:schemeClr val="accent4"/>
              </a:solidFill>
              <a:round/>
            </a:ln>
            <a:effectLst/>
          </c:spPr>
          <c:marker>
            <c:symbol val="none"/>
          </c:marker>
          <c:cat>
            <c:strRef>
              <c:f>'OHLC Trend-Price Performance'!$A$2:$A$67</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'OHLC Trend-Price Performance'!$E$2:$E$67</c:f>
              <c:numCache>
                <c:formatCode>\$#,##0.00;\(\$#,##0.00\);\$#,##0.00</c:formatCode>
                <c:ptCount val="65"/>
                <c:pt idx="0">
                  <c:v>0.27529999999999999</c:v>
                </c:pt>
                <c:pt idx="1">
                  <c:v>0.26719999999999999</c:v>
                </c:pt>
                <c:pt idx="2">
                  <c:v>0.28000000000000003</c:v>
                </c:pt>
                <c:pt idx="3">
                  <c:v>0.28699999999999998</c:v>
                </c:pt>
                <c:pt idx="4">
                  <c:v>0.30449999999999999</c:v>
                </c:pt>
                <c:pt idx="5">
                  <c:v>0.36549999999999999</c:v>
                </c:pt>
                <c:pt idx="6">
                  <c:v>0.46400000000000002</c:v>
                </c:pt>
                <c:pt idx="7">
                  <c:v>0.41499999999999998</c:v>
                </c:pt>
                <c:pt idx="8">
                  <c:v>0.433</c:v>
                </c:pt>
                <c:pt idx="9">
                  <c:v>0.504</c:v>
                </c:pt>
                <c:pt idx="10">
                  <c:v>0.45450000000000002</c:v>
                </c:pt>
                <c:pt idx="11">
                  <c:v>0.44350000000000001</c:v>
                </c:pt>
                <c:pt idx="12">
                  <c:v>0.46100000000000002</c:v>
                </c:pt>
                <c:pt idx="13">
                  <c:v>0.502</c:v>
                </c:pt>
                <c:pt idx="14">
                  <c:v>0.53359999999999996</c:v>
                </c:pt>
                <c:pt idx="15">
                  <c:v>0.51600000000000001</c:v>
                </c:pt>
                <c:pt idx="16">
                  <c:v>0.53800000000000003</c:v>
                </c:pt>
                <c:pt idx="17">
                  <c:v>0.52</c:v>
                </c:pt>
                <c:pt idx="18">
                  <c:v>0.55300000000000005</c:v>
                </c:pt>
                <c:pt idx="19">
                  <c:v>0.70050000000000001</c:v>
                </c:pt>
                <c:pt idx="20">
                  <c:v>0.78600000000000003</c:v>
                </c:pt>
                <c:pt idx="21">
                  <c:v>0.70850000000000002</c:v>
                </c:pt>
                <c:pt idx="22">
                  <c:v>0.54400000000000004</c:v>
                </c:pt>
                <c:pt idx="23">
                  <c:v>0.61099999999999999</c:v>
                </c:pt>
                <c:pt idx="24">
                  <c:v>0.55100000000000005</c:v>
                </c:pt>
                <c:pt idx="25">
                  <c:v>0.56399999999999995</c:v>
                </c:pt>
                <c:pt idx="26">
                  <c:v>0.56950000000000001</c:v>
                </c:pt>
                <c:pt idx="27">
                  <c:v>0.60199999999999998</c:v>
                </c:pt>
                <c:pt idx="28">
                  <c:v>0.85819999999999996</c:v>
                </c:pt>
                <c:pt idx="29">
                  <c:v>0.98799999999999999</c:v>
                </c:pt>
                <c:pt idx="30">
                  <c:v>0.95650000000000002</c:v>
                </c:pt>
                <c:pt idx="31">
                  <c:v>0.96650000000000003</c:v>
                </c:pt>
                <c:pt idx="32">
                  <c:v>0.94350000000000001</c:v>
                </c:pt>
                <c:pt idx="33">
                  <c:v>0.72599999999999998</c:v>
                </c:pt>
                <c:pt idx="34">
                  <c:v>0.78600000000000003</c:v>
                </c:pt>
                <c:pt idx="35">
                  <c:v>1.2110000000000001</c:v>
                </c:pt>
                <c:pt idx="36">
                  <c:v>0.84370000000000001</c:v>
                </c:pt>
                <c:pt idx="37">
                  <c:v>0.76980000000000004</c:v>
                </c:pt>
                <c:pt idx="38">
                  <c:v>0.65149999999999997</c:v>
                </c:pt>
                <c:pt idx="39">
                  <c:v>0.61350000000000005</c:v>
                </c:pt>
                <c:pt idx="40">
                  <c:v>0.74350000000000005</c:v>
                </c:pt>
                <c:pt idx="41">
                  <c:v>0.60599999999999998</c:v>
                </c:pt>
                <c:pt idx="42">
                  <c:v>0.65800000000000003</c:v>
                </c:pt>
                <c:pt idx="43">
                  <c:v>0.71099999999999997</c:v>
                </c:pt>
                <c:pt idx="44">
                  <c:v>1.0665</c:v>
                </c:pt>
                <c:pt idx="45">
                  <c:v>1.343</c:v>
                </c:pt>
                <c:pt idx="46">
                  <c:v>2.0485000000000002</c:v>
                </c:pt>
                <c:pt idx="47">
                  <c:v>2.4165000000000001</c:v>
                </c:pt>
                <c:pt idx="48">
                  <c:v>1.2595000000000001</c:v>
                </c:pt>
                <c:pt idx="49">
                  <c:v>1.3959999999999999</c:v>
                </c:pt>
                <c:pt idx="50">
                  <c:v>2.766</c:v>
                </c:pt>
                <c:pt idx="51">
                  <c:v>3.0575000000000001</c:v>
                </c:pt>
                <c:pt idx="52">
                  <c:v>3.2850000000000001</c:v>
                </c:pt>
                <c:pt idx="53">
                  <c:v>3.0245000000000002</c:v>
                </c:pt>
                <c:pt idx="54">
                  <c:v>2.8266</c:v>
                </c:pt>
                <c:pt idx="55">
                  <c:v>2.0209999999999999</c:v>
                </c:pt>
                <c:pt idx="56">
                  <c:v>1.9435</c:v>
                </c:pt>
                <c:pt idx="57">
                  <c:v>2.4889999999999999</c:v>
                </c:pt>
                <c:pt idx="58">
                  <c:v>2.56</c:v>
                </c:pt>
                <c:pt idx="59">
                  <c:v>2.528</c:v>
                </c:pt>
                <c:pt idx="60">
                  <c:v>2.1004999999999998</c:v>
                </c:pt>
                <c:pt idx="61">
                  <c:v>3.5245000000000002</c:v>
                </c:pt>
                <c:pt idx="62">
                  <c:v>3.2271999999999998</c:v>
                </c:pt>
                <c:pt idx="63">
                  <c:v>3.5728</c:v>
                </c:pt>
                <c:pt idx="64">
                  <c:v>3.6863999999999999</c:v>
                </c:pt>
              </c:numCache>
            </c:numRef>
          </c:val>
          <c:smooth val="0"/>
          <c:extLst>
            <c:ext xmlns:c16="http://schemas.microsoft.com/office/drawing/2014/chart" uri="{C3380CC4-5D6E-409C-BE32-E72D297353CC}">
              <c16:uniqueId val="{00000009-3448-459A-A7A2-84A4F7917AC6}"/>
            </c:ext>
          </c:extLst>
        </c:ser>
        <c:dLbls>
          <c:showLegendKey val="0"/>
          <c:showVal val="0"/>
          <c:showCatName val="0"/>
          <c:showSerName val="0"/>
          <c:showPercent val="0"/>
          <c:showBubbleSize val="0"/>
        </c:dLbls>
        <c:smooth val="0"/>
        <c:axId val="2082935439"/>
        <c:axId val="2082934191"/>
      </c:lineChart>
      <c:catAx>
        <c:axId val="208293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4191"/>
        <c:crosses val="autoZero"/>
        <c:auto val="1"/>
        <c:lblAlgn val="ctr"/>
        <c:lblOffset val="100"/>
        <c:noMultiLvlLbl val="0"/>
      </c:catAx>
      <c:valAx>
        <c:axId val="208293419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93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Trend!PivotTable9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commodities by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Trend'!$B$1</c:f>
              <c:strCache>
                <c:ptCount val="1"/>
                <c:pt idx="0">
                  <c:v>Total</c:v>
                </c:pt>
              </c:strCache>
            </c:strRef>
          </c:tx>
          <c:spPr>
            <a:solidFill>
              <a:schemeClr val="accent1"/>
            </a:solidFill>
            <a:ln>
              <a:noFill/>
            </a:ln>
            <a:effectLst/>
          </c:spPr>
          <c:invertIfNegative val="0"/>
          <c:cat>
            <c:strRef>
              <c:f>'Growth Trend'!$A$2:$A$7</c:f>
              <c:strCache>
                <c:ptCount val="5"/>
                <c:pt idx="0">
                  <c:v>Soybean</c:v>
                </c:pt>
                <c:pt idx="1">
                  <c:v>Wheat</c:v>
                </c:pt>
                <c:pt idx="2">
                  <c:v>Lumber</c:v>
                </c:pt>
                <c:pt idx="3">
                  <c:v>Corn</c:v>
                </c:pt>
                <c:pt idx="4">
                  <c:v>Oats</c:v>
                </c:pt>
              </c:strCache>
            </c:strRef>
          </c:cat>
          <c:val>
            <c:numRef>
              <c:f>'Growth Trend'!$B$2:$B$7</c:f>
              <c:numCache>
                <c:formatCode>\$#,##0.00;\(\$#,##0.00\);\$#,##0.00</c:formatCode>
                <c:ptCount val="5"/>
                <c:pt idx="0">
                  <c:v>7.7920517857142855</c:v>
                </c:pt>
                <c:pt idx="1">
                  <c:v>4.0128661538461534</c:v>
                </c:pt>
                <c:pt idx="2">
                  <c:v>2.9758153846153848</c:v>
                </c:pt>
                <c:pt idx="3">
                  <c:v>2.9292769230769231</c:v>
                </c:pt>
                <c:pt idx="4">
                  <c:v>2.1544222222222222</c:v>
                </c:pt>
              </c:numCache>
            </c:numRef>
          </c:val>
          <c:extLst>
            <c:ext xmlns:c16="http://schemas.microsoft.com/office/drawing/2014/chart" uri="{C3380CC4-5D6E-409C-BE32-E72D297353CC}">
              <c16:uniqueId val="{00000000-3B0A-475E-BC1F-E312A2F82131}"/>
            </c:ext>
          </c:extLst>
        </c:ser>
        <c:dLbls>
          <c:showLegendKey val="0"/>
          <c:showVal val="0"/>
          <c:showCatName val="0"/>
          <c:showSerName val="0"/>
          <c:showPercent val="0"/>
          <c:showBubbleSize val="0"/>
        </c:dLbls>
        <c:gapWidth val="219"/>
        <c:overlap val="-27"/>
        <c:axId val="1892496719"/>
        <c:axId val="1892496303"/>
      </c:barChart>
      <c:catAx>
        <c:axId val="189249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96303"/>
        <c:crosses val="autoZero"/>
        <c:auto val="1"/>
        <c:lblAlgn val="ctr"/>
        <c:lblOffset val="100"/>
        <c:noMultiLvlLbl val="0"/>
      </c:catAx>
      <c:valAx>
        <c:axId val="189249630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49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Trend!PivotTable10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Commodities by Annual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Trend'!$G$1</c:f>
              <c:strCache>
                <c:ptCount val="1"/>
                <c:pt idx="0">
                  <c:v>Total</c:v>
                </c:pt>
              </c:strCache>
            </c:strRef>
          </c:tx>
          <c:spPr>
            <a:solidFill>
              <a:schemeClr val="accent1"/>
            </a:solidFill>
            <a:ln>
              <a:noFill/>
            </a:ln>
            <a:effectLst/>
          </c:spPr>
          <c:invertIfNegative val="0"/>
          <c:cat>
            <c:strRef>
              <c:f>'Growth Trend'!$F$2:$F$7</c:f>
              <c:strCache>
                <c:ptCount val="5"/>
                <c:pt idx="0">
                  <c:v>Sugar</c:v>
                </c:pt>
                <c:pt idx="1">
                  <c:v>Coffee</c:v>
                </c:pt>
                <c:pt idx="2">
                  <c:v>Copper</c:v>
                </c:pt>
                <c:pt idx="3">
                  <c:v>Soybean Oil</c:v>
                </c:pt>
                <c:pt idx="4">
                  <c:v>Oats</c:v>
                </c:pt>
              </c:strCache>
            </c:strRef>
          </c:cat>
          <c:val>
            <c:numRef>
              <c:f>'Growth Trend'!$G$2:$G$7</c:f>
              <c:numCache>
                <c:formatCode>0.00%;\-0.00%;0.00%</c:formatCode>
                <c:ptCount val="5"/>
                <c:pt idx="0">
                  <c:v>0.13861774193548387</c:v>
                </c:pt>
                <c:pt idx="1">
                  <c:v>9.1409803921568625E-2</c:v>
                </c:pt>
                <c:pt idx="2">
                  <c:v>8.4229230769230765E-2</c:v>
                </c:pt>
                <c:pt idx="3">
                  <c:v>7.3374999999999996E-2</c:v>
                </c:pt>
                <c:pt idx="4">
                  <c:v>6.5946296296296295E-2</c:v>
                </c:pt>
              </c:numCache>
            </c:numRef>
          </c:val>
          <c:extLst>
            <c:ext xmlns:c16="http://schemas.microsoft.com/office/drawing/2014/chart" uri="{C3380CC4-5D6E-409C-BE32-E72D297353CC}">
              <c16:uniqueId val="{00000000-7BF2-4045-9E8E-20FCC1B77117}"/>
            </c:ext>
          </c:extLst>
        </c:ser>
        <c:dLbls>
          <c:showLegendKey val="0"/>
          <c:showVal val="0"/>
          <c:showCatName val="0"/>
          <c:showSerName val="0"/>
          <c:showPercent val="0"/>
          <c:showBubbleSize val="0"/>
        </c:dLbls>
        <c:gapWidth val="182"/>
        <c:axId val="1344976751"/>
        <c:axId val="1344973839"/>
      </c:barChart>
      <c:catAx>
        <c:axId val="134497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973839"/>
        <c:crosses val="autoZero"/>
        <c:auto val="1"/>
        <c:lblAlgn val="ctr"/>
        <c:lblOffset val="100"/>
        <c:noMultiLvlLbl val="0"/>
      </c:catAx>
      <c:valAx>
        <c:axId val="1344973839"/>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97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Project_Final.xlsx]Price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Commodity Price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Trend'!$B$1</c:f>
              <c:strCache>
                <c:ptCount val="1"/>
                <c:pt idx="0">
                  <c:v>Total</c:v>
                </c:pt>
              </c:strCache>
            </c:strRef>
          </c:tx>
          <c:spPr>
            <a:ln w="28575" cap="rnd">
              <a:solidFill>
                <a:schemeClr val="accent1"/>
              </a:solidFill>
              <a:round/>
            </a:ln>
            <a:effectLst/>
          </c:spPr>
          <c:marker>
            <c:symbol val="none"/>
          </c:marker>
          <c:cat>
            <c:strRef>
              <c:f>'Price Trend'!$A$2:$A$13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'Price Trend'!$B$2:$B$13</c:f>
              <c:numCache>
                <c:formatCode>"$"#,##0.0</c:formatCode>
                <c:ptCount val="11"/>
                <c:pt idx="0">
                  <c:v>3.4872799999999997</c:v>
                </c:pt>
                <c:pt idx="1">
                  <c:v>2.9061699999999999</c:v>
                </c:pt>
                <c:pt idx="2">
                  <c:v>2.76152</c:v>
                </c:pt>
                <c:pt idx="3">
                  <c:v>2.97811</c:v>
                </c:pt>
                <c:pt idx="4">
                  <c:v>3.0133299999999998</c:v>
                </c:pt>
                <c:pt idx="5">
                  <c:v>2.96713</c:v>
                </c:pt>
                <c:pt idx="6">
                  <c:v>3.5362099999999996</c:v>
                </c:pt>
                <c:pt idx="7">
                  <c:v>4.9468699999999997</c:v>
                </c:pt>
                <c:pt idx="8">
                  <c:v>5.2301900000000003</c:v>
                </c:pt>
                <c:pt idx="9">
                  <c:v>4.3062199999999997</c:v>
                </c:pt>
                <c:pt idx="10">
                  <c:v>4.0405800000000003</c:v>
                </c:pt>
              </c:numCache>
            </c:numRef>
          </c:val>
          <c:smooth val="0"/>
          <c:extLst>
            <c:ext xmlns:c16="http://schemas.microsoft.com/office/drawing/2014/chart" uri="{C3380CC4-5D6E-409C-BE32-E72D297353CC}">
              <c16:uniqueId val="{00000002-0D6D-4C60-9D61-B7E93F5ECEAE}"/>
            </c:ext>
          </c:extLst>
        </c:ser>
        <c:dLbls>
          <c:showLegendKey val="0"/>
          <c:showVal val="0"/>
          <c:showCatName val="0"/>
          <c:showSerName val="0"/>
          <c:showPercent val="0"/>
          <c:showBubbleSize val="0"/>
        </c:dLbls>
        <c:smooth val="0"/>
        <c:axId val="1341792767"/>
        <c:axId val="1341795679"/>
      </c:lineChart>
      <c:catAx>
        <c:axId val="1341792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95679"/>
        <c:crosses val="autoZero"/>
        <c:auto val="1"/>
        <c:lblAlgn val="ctr"/>
        <c:lblOffset val="100"/>
        <c:noMultiLvlLbl val="0"/>
      </c:catAx>
      <c:valAx>
        <c:axId val="1341795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9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[Commodities Project_Final.xlsx]Growth &amp; Decline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Growth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'Growth &amp; Decline %'!$A$1</c:f>
              <c:strCache>
                <c:ptCount val="1"/>
                <c:pt idx="0">
                  <c:v>Growth Years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&amp; Decline %'!$A$2</c:f>
              <c:strCache>
                <c:ptCount val="1"/>
                <c:pt idx="0">
                  <c:v>Total</c:v>
                </c:pt>
              </c:strCache>
            </c:strRef>
          </c:cat>
          <c:val>
            <c:numRef>
              <c:f>'Growth &amp; Decline %'!$A$2</c:f>
              <c:numCache>
                <c:formatCode>0.00%;\-0.00%;0.00%</c:formatCode>
                <c:ptCount val="1"/>
                <c:pt idx="0">
                  <c:v>0.61538461538461542</c:v>
                </c:pt>
              </c:numCache>
            </c:numRef>
          </c:val>
          <c:extLst>
            <c:ext xmlns:c16="http://schemas.microsoft.com/office/drawing/2014/chart" uri="{C3380CC4-5D6E-409C-BE32-E72D297353CC}">
              <c16:uniqueId val="{00000000-A07C-4208-A2A9-7B00EB536445}"/>
            </c:ext>
          </c:extLst>
        </c:ser>
        <c:ser>
          <c:idx val="1"/>
          <c:order val="1"/>
          <c:tx>
            <c:strRef>
              <c:f>'Growth &amp; Decline %'!$B$1</c:f>
              <c:strCache>
                <c:ptCount val="1"/>
                <c:pt idx="0">
                  <c:v>Decline Years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'Growth &amp; Decline %'!$A$2</c:f>
              <c:strCache>
                <c:ptCount val="1"/>
                <c:pt idx="0">
                  <c:v>Total</c:v>
                </c:pt>
              </c:strCache>
            </c:strRef>
          </c:cat>
          <c:val>
            <c:numRef>
              <c:f>'Growth &amp; Decline %'!$B$2</c:f>
              <c:numCache>
                <c:formatCode>0.00%;\-0.00%;0.00%</c:formatCode>
                <c:ptCount val="1"/>
                <c:pt idx="0">
                  <c:v>0.38461538461538464</c:v>
                </c:pt>
              </c:numCache>
            </c:numRef>
          </c:val>
          <c:extLst>
            <c:ext xmlns:c16="http://schemas.microsoft.com/office/drawing/2014/chart" uri="{C3380CC4-5D6E-409C-BE32-E72D297353CC}">
              <c16:uniqueId val="{00000001-A07C-4208-A2A9-7B00EB536445}"/>
            </c:ext>
          </c:extLst>
        </c:ser>
        <c:dLbls>
          <c:dLblPos val="outEnd"/>
          <c:showLegendKey val="0"/>
          <c:showVal val="1"/>
          <c:showCatName val="0"/>
          <c:showSerName val="0"/>
          <c:showPercent val="0"/>
          <c:showBubbleSize val="0"/>
        </c:dLbls>
        <c:gapWidth val="219"/>
        <c:overlap val="-27"/>
        <c:axId val="1901926975"/>
        <c:axId val="1901925311"/>
      </c:barChart>
      <c:catAx>
        <c:axId val="190192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925311"/>
        <c:crosses val="autoZero"/>
        <c:auto val="1"/>
        <c:lblAlgn val="ctr"/>
        <c:lblOffset val="100"/>
        <c:noMultiLvlLbl val="0"/>
      </c:catAx>
      <c:valAx>
        <c:axId val="1901925311"/>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190192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hyperlink" Target="#'Management Insight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Trend &amp; Risk Analysis'!A1"/><Relationship Id="rId5" Type="http://schemas.openxmlformats.org/officeDocument/2006/relationships/hyperlink" Target="#'Price Performance'!A1"/><Relationship Id="rId4" Type="http://schemas.openxmlformats.org/officeDocument/2006/relationships/hyperlink" Target="#'Dashboard - Executive Overview'!A1"/></Relationships>
</file>

<file path=xl/drawings/_rels/drawing2.xml.rels><?xml version="1.0" encoding="UTF-8" standalone="yes"?>
<Relationships xmlns="http://schemas.openxmlformats.org/package/2006/relationships"><Relationship Id="rId3" Type="http://schemas.openxmlformats.org/officeDocument/2006/relationships/hyperlink" Target="#'Price Performance'!A1"/><Relationship Id="rId7" Type="http://schemas.openxmlformats.org/officeDocument/2006/relationships/hyperlink" Target="#'Management Insights'!A1"/><Relationship Id="rId2" Type="http://schemas.openxmlformats.org/officeDocument/2006/relationships/hyperlink" Target="#'Dashboard - Executive Overview'!A1"/><Relationship Id="rId1" Type="http://schemas.openxmlformats.org/officeDocument/2006/relationships/chart" Target="../charts/chart5.xml"/><Relationship Id="rId6" Type="http://schemas.openxmlformats.org/officeDocument/2006/relationships/hyperlink" Target="#'Trend &amp; Risk Analysis'!A1"/><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hyperlink" Target="#'Trend &amp; Risk Analysis'!A1"/><Relationship Id="rId7" Type="http://schemas.openxmlformats.org/officeDocument/2006/relationships/chart" Target="../charts/chart10.xml"/><Relationship Id="rId2" Type="http://schemas.openxmlformats.org/officeDocument/2006/relationships/hyperlink" Target="#'Price Performance'!A1"/><Relationship Id="rId1" Type="http://schemas.openxmlformats.org/officeDocument/2006/relationships/hyperlink" Target="#'Dashboard - Executive Overview'!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hyperlink" Target="#'Management Insights'!A1"/></Relationships>
</file>

<file path=xl/drawings/_rels/drawing4.xml.rels><?xml version="1.0" encoding="UTF-8" standalone="yes"?>
<Relationships xmlns="http://schemas.openxmlformats.org/package/2006/relationships"><Relationship Id="rId3" Type="http://schemas.openxmlformats.org/officeDocument/2006/relationships/hyperlink" Target="#'Trend &amp; Risk Analysis'!A1"/><Relationship Id="rId2" Type="http://schemas.openxmlformats.org/officeDocument/2006/relationships/hyperlink" Target="#'Price Performance'!A1"/><Relationship Id="rId1" Type="http://schemas.openxmlformats.org/officeDocument/2006/relationships/hyperlink" Target="#'Dashboard - Executive Overview'!A1"/><Relationship Id="rId4" Type="http://schemas.openxmlformats.org/officeDocument/2006/relationships/hyperlink" Target="#'Management Insights'!A1"/></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23</xdr:col>
      <xdr:colOff>15240</xdr:colOff>
      <xdr:row>3</xdr:row>
      <xdr:rowOff>7620</xdr:rowOff>
    </xdr:to>
    <xdr:sp macro="" textlink="">
      <xdr:nvSpPr>
        <xdr:cNvPr id="2" name="Rectangle 1">
          <a:extLst>
            <a:ext uri="{FF2B5EF4-FFF2-40B4-BE49-F238E27FC236}">
              <a16:creationId xmlns:a16="http://schemas.microsoft.com/office/drawing/2014/main" id="{08072D49-9593-4E42-9514-B24945A7E482}"/>
            </a:ext>
          </a:extLst>
        </xdr:cNvPr>
        <xdr:cNvSpPr/>
      </xdr:nvSpPr>
      <xdr:spPr>
        <a:xfrm>
          <a:off x="0" y="7620"/>
          <a:ext cx="13647420" cy="9144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Commodities Market Performance </a:t>
          </a:r>
          <a:r>
            <a:rPr lang="en-US" sz="1800" b="1">
              <a:latin typeface="Times New Roman" panose="02020603050405020304" pitchFamily="18" charset="0"/>
              <a:cs typeface="Times New Roman" panose="02020603050405020304" pitchFamily="18" charset="0"/>
            </a:rPr>
            <a:t>(1960</a:t>
          </a:r>
          <a:r>
            <a:rPr lang="en-US" sz="1800" b="1" baseline="0">
              <a:latin typeface="Times New Roman" panose="02020603050405020304" pitchFamily="18" charset="0"/>
              <a:cs typeface="Times New Roman" panose="02020603050405020304" pitchFamily="18" charset="0"/>
            </a:rPr>
            <a:t> - 2024)</a:t>
          </a:r>
          <a:endParaRPr lang="en-US" sz="2400" b="1">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38100</xdr:colOff>
      <xdr:row>3</xdr:row>
      <xdr:rowOff>68580</xdr:rowOff>
    </xdr:from>
    <xdr:to>
      <xdr:col>22</xdr:col>
      <xdr:colOff>647700</xdr:colOff>
      <xdr:row>11</xdr:row>
      <xdr:rowOff>53340</xdr:rowOff>
    </xdr:to>
    <mc:AlternateContent xmlns:mc="http://schemas.openxmlformats.org/markup-compatibility/2006" xmlns:a14="http://schemas.microsoft.com/office/drawing/2010/main">
      <mc:Choice Requires="a14">
        <xdr:graphicFrame macro="">
          <xdr:nvGraphicFramePr>
            <xdr:cNvPr id="5" name="Source_Key 1">
              <a:extLst>
                <a:ext uri="{FF2B5EF4-FFF2-40B4-BE49-F238E27FC236}">
                  <a16:creationId xmlns:a16="http://schemas.microsoft.com/office/drawing/2014/main" id="{1848D77E-9B10-4C7D-8385-E7175301AFDC}"/>
                </a:ext>
              </a:extLst>
            </xdr:cNvPr>
            <xdr:cNvGraphicFramePr/>
          </xdr:nvGraphicFramePr>
          <xdr:xfrm>
            <a:off x="0" y="0"/>
            <a:ext cx="0" cy="0"/>
          </xdr:xfrm>
          <a:graphic>
            <a:graphicData uri="http://schemas.microsoft.com/office/drawing/2010/slicer">
              <sle:slicer xmlns:sle="http://schemas.microsoft.com/office/drawing/2010/slicer" name="Source_Key 1"/>
            </a:graphicData>
          </a:graphic>
        </xdr:graphicFrame>
      </mc:Choice>
      <mc:Fallback xmlns="">
        <xdr:sp macro="" textlink="">
          <xdr:nvSpPr>
            <xdr:cNvPr id="0" name=""/>
            <xdr:cNvSpPr>
              <a:spLocks noTextEdit="1"/>
            </xdr:cNvSpPr>
          </xdr:nvSpPr>
          <xdr:spPr>
            <a:xfrm>
              <a:off x="11887200" y="617220"/>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16</xdr:row>
      <xdr:rowOff>160020</xdr:rowOff>
    </xdr:from>
    <xdr:to>
      <xdr:col>22</xdr:col>
      <xdr:colOff>640080</xdr:colOff>
      <xdr:row>26</xdr:row>
      <xdr:rowOff>175260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57AA2146-0922-4FA8-B03C-39736D0B937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879580" y="3086100"/>
              <a:ext cx="1828800" cy="1844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144780</xdr:colOff>
      <xdr:row>3</xdr:row>
      <xdr:rowOff>83820</xdr:rowOff>
    </xdr:from>
    <xdr:to>
      <xdr:col>7</xdr:col>
      <xdr:colOff>60960</xdr:colOff>
      <xdr:row>7</xdr:row>
      <xdr:rowOff>137160</xdr:rowOff>
    </xdr:to>
    <xdr:grpSp>
      <xdr:nvGrpSpPr>
        <xdr:cNvPr id="12" name="Group 11">
          <a:extLst>
            <a:ext uri="{FF2B5EF4-FFF2-40B4-BE49-F238E27FC236}">
              <a16:creationId xmlns:a16="http://schemas.microsoft.com/office/drawing/2014/main" id="{64BA2F73-AB45-4B9D-A00A-E02F716F5A8A}"/>
            </a:ext>
          </a:extLst>
        </xdr:cNvPr>
        <xdr:cNvGrpSpPr/>
      </xdr:nvGrpSpPr>
      <xdr:grpSpPr>
        <a:xfrm>
          <a:off x="2080260" y="518160"/>
          <a:ext cx="1905000" cy="784860"/>
          <a:chOff x="1851660" y="731520"/>
          <a:chExt cx="1821180" cy="1043940"/>
        </a:xfrm>
      </xdr:grpSpPr>
      <xdr:sp macro="" textlink="">
        <xdr:nvSpPr>
          <xdr:cNvPr id="3" name="Rectangle: Rounded Corners 2">
            <a:extLst>
              <a:ext uri="{FF2B5EF4-FFF2-40B4-BE49-F238E27FC236}">
                <a16:creationId xmlns:a16="http://schemas.microsoft.com/office/drawing/2014/main" id="{F22B5645-30B6-4D02-9A76-F04D09F50D07}"/>
              </a:ext>
            </a:extLst>
          </xdr:cNvPr>
          <xdr:cNvSpPr/>
        </xdr:nvSpPr>
        <xdr:spPr>
          <a:xfrm>
            <a:off x="185166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extLst>
              <a:ext uri="{FF2B5EF4-FFF2-40B4-BE49-F238E27FC236}">
                <a16:creationId xmlns:a16="http://schemas.microsoft.com/office/drawing/2014/main" id="{70ECA0E8-A6B0-4BFB-B47B-03F24800D086}"/>
              </a:ext>
            </a:extLst>
          </xdr:cNvPr>
          <xdr:cNvSpPr txBox="1"/>
        </xdr:nvSpPr>
        <xdr:spPr>
          <a:xfrm>
            <a:off x="2140559" y="769093"/>
            <a:ext cx="1331656"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t>Total Commodities</a:t>
            </a:r>
          </a:p>
        </xdr:txBody>
      </xdr:sp>
      <xdr:sp macro="" textlink="Measures!$A$8">
        <xdr:nvSpPr>
          <xdr:cNvPr id="15" name="TextBox 14">
            <a:extLst>
              <a:ext uri="{FF2B5EF4-FFF2-40B4-BE49-F238E27FC236}">
                <a16:creationId xmlns:a16="http://schemas.microsoft.com/office/drawing/2014/main" id="{F3313F18-7B2D-489F-90B1-8C1E2414BEF9}"/>
              </a:ext>
            </a:extLst>
          </xdr:cNvPr>
          <xdr:cNvSpPr txBox="1"/>
        </xdr:nvSpPr>
        <xdr:spPr>
          <a:xfrm>
            <a:off x="2255520" y="118872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68074C-FEFC-456F-AB5A-25EAA44DF2A9}" type="TxLink">
              <a:rPr lang="en-US" sz="1400" b="1" i="0" u="none" strike="noStrike">
                <a:solidFill>
                  <a:srgbClr val="000000"/>
                </a:solidFill>
                <a:latin typeface="Calibri"/>
                <a:ea typeface="Calibri"/>
                <a:cs typeface="Calibri"/>
              </a:rPr>
              <a:pPr algn="ctr"/>
              <a:t>10</a:t>
            </a:fld>
            <a:endParaRPr lang="en-US" sz="6000" b="1"/>
          </a:p>
        </xdr:txBody>
      </xdr:sp>
    </xdr:grpSp>
    <xdr:clientData/>
  </xdr:twoCellAnchor>
  <xdr:twoCellAnchor>
    <xdr:from>
      <xdr:col>7</xdr:col>
      <xdr:colOff>129540</xdr:colOff>
      <xdr:row>3</xdr:row>
      <xdr:rowOff>83820</xdr:rowOff>
    </xdr:from>
    <xdr:to>
      <xdr:col>10</xdr:col>
      <xdr:colOff>220980</xdr:colOff>
      <xdr:row>7</xdr:row>
      <xdr:rowOff>137160</xdr:rowOff>
    </xdr:to>
    <xdr:grpSp>
      <xdr:nvGrpSpPr>
        <xdr:cNvPr id="13" name="Group 12">
          <a:extLst>
            <a:ext uri="{FF2B5EF4-FFF2-40B4-BE49-F238E27FC236}">
              <a16:creationId xmlns:a16="http://schemas.microsoft.com/office/drawing/2014/main" id="{C76CECD7-C148-4FFD-B5E4-5521D7419178}"/>
            </a:ext>
          </a:extLst>
        </xdr:cNvPr>
        <xdr:cNvGrpSpPr/>
      </xdr:nvGrpSpPr>
      <xdr:grpSpPr>
        <a:xfrm>
          <a:off x="4053840" y="518160"/>
          <a:ext cx="1920240" cy="784860"/>
          <a:chOff x="3817620" y="731520"/>
          <a:chExt cx="1821180" cy="1043940"/>
        </a:xfrm>
      </xdr:grpSpPr>
      <xdr:sp macro="" textlink="">
        <xdr:nvSpPr>
          <xdr:cNvPr id="7" name="Rectangle: Rounded Corners 6">
            <a:extLst>
              <a:ext uri="{FF2B5EF4-FFF2-40B4-BE49-F238E27FC236}">
                <a16:creationId xmlns:a16="http://schemas.microsoft.com/office/drawing/2014/main" id="{91FF7748-2AE7-4309-8560-3D8B857AA54C}"/>
              </a:ext>
            </a:extLst>
          </xdr:cNvPr>
          <xdr:cNvSpPr/>
        </xdr:nvSpPr>
        <xdr:spPr>
          <a:xfrm>
            <a:off x="381762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REF!">
        <xdr:nvSpPr>
          <xdr:cNvPr id="16" name="TextBox 15">
            <a:extLst>
              <a:ext uri="{FF2B5EF4-FFF2-40B4-BE49-F238E27FC236}">
                <a16:creationId xmlns:a16="http://schemas.microsoft.com/office/drawing/2014/main" id="{AE8DC660-1699-42A9-8FA0-4C77600B7FFC}"/>
              </a:ext>
            </a:extLst>
          </xdr:cNvPr>
          <xdr:cNvSpPr txBox="1"/>
        </xdr:nvSpPr>
        <xdr:spPr>
          <a:xfrm>
            <a:off x="4287373" y="786067"/>
            <a:ext cx="848029"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i="0" u="none" strike="noStrike">
                <a:solidFill>
                  <a:srgbClr val="000000"/>
                </a:solidFill>
                <a:latin typeface="Calibri"/>
                <a:ea typeface="Calibri"/>
                <a:cs typeface="Calibri"/>
              </a:rPr>
              <a:t>Latest Year</a:t>
            </a:r>
            <a:endParaRPr lang="en-US" sz="1400" b="1"/>
          </a:p>
        </xdr:txBody>
      </xdr:sp>
      <xdr:sp macro="" textlink="Measures!$C$8">
        <xdr:nvSpPr>
          <xdr:cNvPr id="18" name="TextBox 17">
            <a:extLst>
              <a:ext uri="{FF2B5EF4-FFF2-40B4-BE49-F238E27FC236}">
                <a16:creationId xmlns:a16="http://schemas.microsoft.com/office/drawing/2014/main" id="{C8463E75-6F1F-4797-BB8F-1DA757209442}"/>
              </a:ext>
            </a:extLst>
          </xdr:cNvPr>
          <xdr:cNvSpPr txBox="1"/>
        </xdr:nvSpPr>
        <xdr:spPr>
          <a:xfrm>
            <a:off x="423672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AEE543-83C7-4150-AB3B-B01CC0667B30}" type="TxLink">
              <a:rPr lang="en-US" sz="1400" b="1" i="0" u="none" strike="noStrike">
                <a:solidFill>
                  <a:srgbClr val="000000"/>
                </a:solidFill>
                <a:latin typeface="Calibri"/>
                <a:ea typeface="Calibri"/>
                <a:cs typeface="Calibri"/>
              </a:rPr>
              <a:pPr algn="ctr"/>
              <a:t>2024</a:t>
            </a:fld>
            <a:endParaRPr lang="en-US" sz="6000" b="1"/>
          </a:p>
        </xdr:txBody>
      </xdr:sp>
    </xdr:grpSp>
    <xdr:clientData/>
  </xdr:twoCellAnchor>
  <xdr:twoCellAnchor>
    <xdr:from>
      <xdr:col>10</xdr:col>
      <xdr:colOff>304800</xdr:colOff>
      <xdr:row>3</xdr:row>
      <xdr:rowOff>91440</xdr:rowOff>
    </xdr:from>
    <xdr:to>
      <xdr:col>13</xdr:col>
      <xdr:colOff>365760</xdr:colOff>
      <xdr:row>7</xdr:row>
      <xdr:rowOff>144780</xdr:rowOff>
    </xdr:to>
    <xdr:grpSp>
      <xdr:nvGrpSpPr>
        <xdr:cNvPr id="14" name="Group 13">
          <a:extLst>
            <a:ext uri="{FF2B5EF4-FFF2-40B4-BE49-F238E27FC236}">
              <a16:creationId xmlns:a16="http://schemas.microsoft.com/office/drawing/2014/main" id="{2E1FE624-8ED4-478A-882D-B4BD2632E6E7}"/>
            </a:ext>
          </a:extLst>
        </xdr:cNvPr>
        <xdr:cNvGrpSpPr/>
      </xdr:nvGrpSpPr>
      <xdr:grpSpPr>
        <a:xfrm>
          <a:off x="6057900" y="525780"/>
          <a:ext cx="1889760" cy="784860"/>
          <a:chOff x="5836920" y="739140"/>
          <a:chExt cx="1821180" cy="1043940"/>
        </a:xfrm>
      </xdr:grpSpPr>
      <xdr:sp macro="" textlink="">
        <xdr:nvSpPr>
          <xdr:cNvPr id="8" name="Rectangle: Rounded Corners 7">
            <a:extLst>
              <a:ext uri="{FF2B5EF4-FFF2-40B4-BE49-F238E27FC236}">
                <a16:creationId xmlns:a16="http://schemas.microsoft.com/office/drawing/2014/main" id="{DEA14289-A7DC-4470-94F4-64A6BBFF87ED}"/>
              </a:ext>
            </a:extLst>
          </xdr:cNvPr>
          <xdr:cNvSpPr/>
        </xdr:nvSpPr>
        <xdr:spPr>
          <a:xfrm>
            <a:off x="5836920" y="73914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Measures!$F$7">
        <xdr:nvSpPr>
          <xdr:cNvPr id="19" name="TextBox 18">
            <a:extLst>
              <a:ext uri="{FF2B5EF4-FFF2-40B4-BE49-F238E27FC236}">
                <a16:creationId xmlns:a16="http://schemas.microsoft.com/office/drawing/2014/main" id="{9146F670-AE90-4A5F-8902-2281FE1A2292}"/>
              </a:ext>
            </a:extLst>
          </xdr:cNvPr>
          <xdr:cNvSpPr txBox="1"/>
        </xdr:nvSpPr>
        <xdr:spPr>
          <a:xfrm>
            <a:off x="6237582" y="786067"/>
            <a:ext cx="1016684"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81CC5ED3-6B38-462F-A848-4C8EE58838AD}" type="TxLink">
              <a:rPr lang="en-US" sz="1200" b="1" i="0" u="none" strike="noStrike">
                <a:solidFill>
                  <a:srgbClr val="000000"/>
                </a:solidFill>
                <a:latin typeface="Calibri"/>
                <a:ea typeface="Calibri"/>
                <a:cs typeface="Calibri"/>
              </a:rPr>
              <a:pPr algn="ctr"/>
              <a:t>Growth Years</a:t>
            </a:fld>
            <a:endParaRPr lang="en-US" sz="1800" b="1"/>
          </a:p>
        </xdr:txBody>
      </xdr:sp>
      <xdr:sp macro="" textlink="Measures!$F$8">
        <xdr:nvSpPr>
          <xdr:cNvPr id="20" name="TextBox 19">
            <a:extLst>
              <a:ext uri="{FF2B5EF4-FFF2-40B4-BE49-F238E27FC236}">
                <a16:creationId xmlns:a16="http://schemas.microsoft.com/office/drawing/2014/main" id="{5604318B-7B7E-4273-A4DC-D0B0F67797DD}"/>
              </a:ext>
            </a:extLst>
          </xdr:cNvPr>
          <xdr:cNvSpPr txBox="1"/>
        </xdr:nvSpPr>
        <xdr:spPr>
          <a:xfrm>
            <a:off x="62712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C34636-64A3-4FC3-BF4B-08A9558B1828}" type="TxLink">
              <a:rPr lang="en-US" sz="1400" b="1" i="0" u="none" strike="noStrike">
                <a:solidFill>
                  <a:srgbClr val="000000"/>
                </a:solidFill>
                <a:latin typeface="Calibri"/>
                <a:ea typeface="Calibri"/>
                <a:cs typeface="Calibri"/>
              </a:rPr>
              <a:pPr algn="ctr"/>
              <a:t>40</a:t>
            </a:fld>
            <a:endParaRPr lang="en-US" sz="8000" b="1"/>
          </a:p>
        </xdr:txBody>
      </xdr:sp>
    </xdr:grpSp>
    <xdr:clientData/>
  </xdr:twoCellAnchor>
  <xdr:twoCellAnchor>
    <xdr:from>
      <xdr:col>13</xdr:col>
      <xdr:colOff>449580</xdr:colOff>
      <xdr:row>3</xdr:row>
      <xdr:rowOff>76200</xdr:rowOff>
    </xdr:from>
    <xdr:to>
      <xdr:col>16</xdr:col>
      <xdr:colOff>525780</xdr:colOff>
      <xdr:row>7</xdr:row>
      <xdr:rowOff>129540</xdr:rowOff>
    </xdr:to>
    <xdr:grpSp>
      <xdr:nvGrpSpPr>
        <xdr:cNvPr id="17" name="Group 16">
          <a:extLst>
            <a:ext uri="{FF2B5EF4-FFF2-40B4-BE49-F238E27FC236}">
              <a16:creationId xmlns:a16="http://schemas.microsoft.com/office/drawing/2014/main" id="{3D08BDD5-AAB9-455C-A5EB-431DB4360DC2}"/>
            </a:ext>
          </a:extLst>
        </xdr:cNvPr>
        <xdr:cNvGrpSpPr/>
      </xdr:nvGrpSpPr>
      <xdr:grpSpPr>
        <a:xfrm>
          <a:off x="8031480" y="510540"/>
          <a:ext cx="1905000" cy="784860"/>
          <a:chOff x="7802880" y="723900"/>
          <a:chExt cx="1821180" cy="1043940"/>
        </a:xfrm>
      </xdr:grpSpPr>
      <xdr:sp macro="" textlink="">
        <xdr:nvSpPr>
          <xdr:cNvPr id="9" name="Rectangle: Rounded Corners 8">
            <a:extLst>
              <a:ext uri="{FF2B5EF4-FFF2-40B4-BE49-F238E27FC236}">
                <a16:creationId xmlns:a16="http://schemas.microsoft.com/office/drawing/2014/main" id="{2B608A53-5267-45E7-BEB4-9D5B609DED74}"/>
              </a:ext>
            </a:extLst>
          </xdr:cNvPr>
          <xdr:cNvSpPr/>
        </xdr:nvSpPr>
        <xdr:spPr>
          <a:xfrm>
            <a:off x="7802880" y="72390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G$7">
        <xdr:nvSpPr>
          <xdr:cNvPr id="21" name="TextBox 20">
            <a:extLst>
              <a:ext uri="{FF2B5EF4-FFF2-40B4-BE49-F238E27FC236}">
                <a16:creationId xmlns:a16="http://schemas.microsoft.com/office/drawing/2014/main" id="{E6F48683-35CC-415E-B507-8380266DABE8}"/>
              </a:ext>
            </a:extLst>
          </xdr:cNvPr>
          <xdr:cNvSpPr txBox="1"/>
        </xdr:nvSpPr>
        <xdr:spPr>
          <a:xfrm>
            <a:off x="8190296" y="786066"/>
            <a:ext cx="997455"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E54E83D-EC27-4CDD-A066-3FEFC4D8C25A}" type="TxLink">
              <a:rPr lang="en-US" sz="1200" b="1" i="0" u="none" strike="noStrike">
                <a:solidFill>
                  <a:srgbClr val="000000"/>
                </a:solidFill>
                <a:latin typeface="Calibri"/>
                <a:ea typeface="Calibri"/>
                <a:cs typeface="Calibri"/>
              </a:rPr>
              <a:pPr algn="ctr"/>
              <a:t>Decline Years</a:t>
            </a:fld>
            <a:endParaRPr lang="en-US" sz="2000" b="1"/>
          </a:p>
        </xdr:txBody>
      </xdr:sp>
      <xdr:sp macro="" textlink="Measures!$G$8">
        <xdr:nvSpPr>
          <xdr:cNvPr id="22" name="TextBox 21">
            <a:extLst>
              <a:ext uri="{FF2B5EF4-FFF2-40B4-BE49-F238E27FC236}">
                <a16:creationId xmlns:a16="http://schemas.microsoft.com/office/drawing/2014/main" id="{25729318-8ACD-48DF-8021-2AB877BEFC0B}"/>
              </a:ext>
            </a:extLst>
          </xdr:cNvPr>
          <xdr:cNvSpPr txBox="1"/>
        </xdr:nvSpPr>
        <xdr:spPr>
          <a:xfrm>
            <a:off x="82143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AEC8AC-7A2B-4AF2-B552-F5718CC744C4}" type="TxLink">
              <a:rPr lang="en-US" sz="1400" b="1" i="0" u="none" strike="noStrike">
                <a:solidFill>
                  <a:srgbClr val="000000"/>
                </a:solidFill>
                <a:latin typeface="Calibri"/>
                <a:ea typeface="Calibri"/>
                <a:cs typeface="Calibri"/>
              </a:rPr>
              <a:pPr algn="ctr"/>
              <a:t>25</a:t>
            </a:fld>
            <a:endParaRPr lang="en-US" sz="8800" b="1"/>
          </a:p>
        </xdr:txBody>
      </xdr:sp>
    </xdr:grpSp>
    <xdr:clientData/>
  </xdr:twoCellAnchor>
  <xdr:twoCellAnchor>
    <xdr:from>
      <xdr:col>16</xdr:col>
      <xdr:colOff>576508</xdr:colOff>
      <xdr:row>3</xdr:row>
      <xdr:rowOff>76201</xdr:rowOff>
    </xdr:from>
    <xdr:to>
      <xdr:col>19</xdr:col>
      <xdr:colOff>601421</xdr:colOff>
      <xdr:row>7</xdr:row>
      <xdr:rowOff>140999</xdr:rowOff>
    </xdr:to>
    <xdr:grpSp>
      <xdr:nvGrpSpPr>
        <xdr:cNvPr id="27" name="Group 26">
          <a:extLst>
            <a:ext uri="{FF2B5EF4-FFF2-40B4-BE49-F238E27FC236}">
              <a16:creationId xmlns:a16="http://schemas.microsoft.com/office/drawing/2014/main" id="{FC2D4AF3-8B96-4A9E-BB90-32B9EB91936D}"/>
            </a:ext>
          </a:extLst>
        </xdr:cNvPr>
        <xdr:cNvGrpSpPr/>
      </xdr:nvGrpSpPr>
      <xdr:grpSpPr>
        <a:xfrm>
          <a:off x="9987208" y="510541"/>
          <a:ext cx="1853713" cy="796318"/>
          <a:chOff x="9758608" y="723900"/>
          <a:chExt cx="1853713" cy="1043940"/>
        </a:xfrm>
      </xdr:grpSpPr>
      <xdr:sp macro="" textlink="">
        <xdr:nvSpPr>
          <xdr:cNvPr id="10" name="Rectangle: Rounded Corners 9">
            <a:extLst>
              <a:ext uri="{FF2B5EF4-FFF2-40B4-BE49-F238E27FC236}">
                <a16:creationId xmlns:a16="http://schemas.microsoft.com/office/drawing/2014/main" id="{DF501EA0-3F55-4AED-9F61-D34F6B2CA717}"/>
              </a:ext>
            </a:extLst>
          </xdr:cNvPr>
          <xdr:cNvSpPr/>
        </xdr:nvSpPr>
        <xdr:spPr>
          <a:xfrm>
            <a:off x="9768840" y="72390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Measures!$E$7">
        <xdr:nvSpPr>
          <xdr:cNvPr id="23" name="TextBox 22">
            <a:extLst>
              <a:ext uri="{FF2B5EF4-FFF2-40B4-BE49-F238E27FC236}">
                <a16:creationId xmlns:a16="http://schemas.microsoft.com/office/drawing/2014/main" id="{71CFB681-A768-4576-BD65-0369B59C02F8}"/>
              </a:ext>
            </a:extLst>
          </xdr:cNvPr>
          <xdr:cNvSpPr txBox="1"/>
        </xdr:nvSpPr>
        <xdr:spPr>
          <a:xfrm>
            <a:off x="9758608" y="788749"/>
            <a:ext cx="1853713" cy="3673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FA6152A9-CB2D-4758-8465-2E1EF82419D4}" type="TxLink">
              <a:rPr lang="en-US" sz="1200" b="1" i="0" u="none" strike="noStrike">
                <a:solidFill>
                  <a:srgbClr val="000000"/>
                </a:solidFill>
                <a:latin typeface="Calibri"/>
                <a:ea typeface="Calibri"/>
                <a:cs typeface="Calibri"/>
              </a:rPr>
              <a:pPr algn="ctr"/>
              <a:t>Average Annual Change %</a:t>
            </a:fld>
            <a:endParaRPr lang="en-US" sz="2000" b="1"/>
          </a:p>
        </xdr:txBody>
      </xdr:sp>
      <xdr:sp macro="" textlink="Measures!$E$8">
        <xdr:nvSpPr>
          <xdr:cNvPr id="24" name="TextBox 23">
            <a:extLst>
              <a:ext uri="{FF2B5EF4-FFF2-40B4-BE49-F238E27FC236}">
                <a16:creationId xmlns:a16="http://schemas.microsoft.com/office/drawing/2014/main" id="{9FD5B26F-5C2A-4D2E-965E-8D564BAABCF8}"/>
              </a:ext>
            </a:extLst>
          </xdr:cNvPr>
          <xdr:cNvSpPr txBox="1"/>
        </xdr:nvSpPr>
        <xdr:spPr>
          <a:xfrm>
            <a:off x="1021080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B19461-E9FF-4BBA-9C7B-092CEEE28649}" type="TxLink">
              <a:rPr lang="en-US" sz="1400" b="1" i="0" u="none" strike="noStrike">
                <a:solidFill>
                  <a:srgbClr val="000000"/>
                </a:solidFill>
                <a:latin typeface="Calibri"/>
                <a:ea typeface="Calibri"/>
                <a:cs typeface="Calibri"/>
              </a:rPr>
              <a:pPr algn="ctr"/>
              <a:t>7.32%</a:t>
            </a:fld>
            <a:endParaRPr lang="en-US" sz="8800" b="1"/>
          </a:p>
        </xdr:txBody>
      </xdr:sp>
    </xdr:grpSp>
    <xdr:clientData/>
  </xdr:twoCellAnchor>
  <xdr:twoCellAnchor>
    <xdr:from>
      <xdr:col>3</xdr:col>
      <xdr:colOff>160020</xdr:colOff>
      <xdr:row>8</xdr:row>
      <xdr:rowOff>0</xdr:rowOff>
    </xdr:from>
    <xdr:to>
      <xdr:col>10</xdr:col>
      <xdr:colOff>236220</xdr:colOff>
      <xdr:row>27</xdr:row>
      <xdr:rowOff>0</xdr:rowOff>
    </xdr:to>
    <xdr:graphicFrame macro="">
      <xdr:nvGraphicFramePr>
        <xdr:cNvPr id="30" name="Chart 29">
          <a:extLst>
            <a:ext uri="{FF2B5EF4-FFF2-40B4-BE49-F238E27FC236}">
              <a16:creationId xmlns:a16="http://schemas.microsoft.com/office/drawing/2014/main" id="{CF214378-E0F6-4C15-9AAD-D71409133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38100</xdr:colOff>
      <xdr:row>11</xdr:row>
      <xdr:rowOff>106681</xdr:rowOff>
    </xdr:from>
    <xdr:to>
      <xdr:col>22</xdr:col>
      <xdr:colOff>647700</xdr:colOff>
      <xdr:row>16</xdr:row>
      <xdr:rowOff>106681</xdr:rowOff>
    </xdr:to>
    <mc:AlternateContent xmlns:mc="http://schemas.openxmlformats.org/markup-compatibility/2006" xmlns:a14="http://schemas.microsoft.com/office/drawing/2010/main">
      <mc:Choice Requires="a14">
        <xdr:graphicFrame macro="">
          <xdr:nvGraphicFramePr>
            <xdr:cNvPr id="36" name="Growth Status 1">
              <a:extLst>
                <a:ext uri="{FF2B5EF4-FFF2-40B4-BE49-F238E27FC236}">
                  <a16:creationId xmlns:a16="http://schemas.microsoft.com/office/drawing/2014/main" id="{859205C9-4653-43EE-B877-E6A859D41583}"/>
                </a:ext>
              </a:extLst>
            </xdr:cNvPr>
            <xdr:cNvGraphicFramePr/>
          </xdr:nvGraphicFramePr>
          <xdr:xfrm>
            <a:off x="0" y="0"/>
            <a:ext cx="0" cy="0"/>
          </xdr:xfrm>
          <a:graphic>
            <a:graphicData uri="http://schemas.microsoft.com/office/drawing/2010/slicer">
              <sle:slicer xmlns:sle="http://schemas.microsoft.com/office/drawing/2010/slicer" name="Growth Status 1"/>
            </a:graphicData>
          </a:graphic>
        </xdr:graphicFrame>
      </mc:Choice>
      <mc:Fallback xmlns="">
        <xdr:sp macro="" textlink="">
          <xdr:nvSpPr>
            <xdr:cNvPr id="0" name=""/>
            <xdr:cNvSpPr>
              <a:spLocks noTextEdit="1"/>
            </xdr:cNvSpPr>
          </xdr:nvSpPr>
          <xdr:spPr>
            <a:xfrm>
              <a:off x="11887200" y="211836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304800</xdr:colOff>
      <xdr:row>19</xdr:row>
      <xdr:rowOff>60960</xdr:rowOff>
    </xdr:from>
    <xdr:to>
      <xdr:col>20</xdr:col>
      <xdr:colOff>0</xdr:colOff>
      <xdr:row>27</xdr:row>
      <xdr:rowOff>0</xdr:rowOff>
    </xdr:to>
    <xdr:graphicFrame macro="">
      <xdr:nvGraphicFramePr>
        <xdr:cNvPr id="42" name="Chart 41">
          <a:extLst>
            <a:ext uri="{FF2B5EF4-FFF2-40B4-BE49-F238E27FC236}">
              <a16:creationId xmlns:a16="http://schemas.microsoft.com/office/drawing/2014/main" id="{9D321729-7024-4565-892B-512B962AC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53340</xdr:colOff>
      <xdr:row>8</xdr:row>
      <xdr:rowOff>7620</xdr:rowOff>
    </xdr:from>
    <xdr:to>
      <xdr:col>19</xdr:col>
      <xdr:colOff>579120</xdr:colOff>
      <xdr:row>19</xdr:row>
      <xdr:rowOff>7620</xdr:rowOff>
    </xdr:to>
    <xdr:graphicFrame macro="">
      <xdr:nvGraphicFramePr>
        <xdr:cNvPr id="43" name="Chart 42">
          <a:extLst>
            <a:ext uri="{FF2B5EF4-FFF2-40B4-BE49-F238E27FC236}">
              <a16:creationId xmlns:a16="http://schemas.microsoft.com/office/drawing/2014/main" id="{0135A795-CF46-4484-84AA-119871E95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68580</xdr:rowOff>
    </xdr:from>
    <xdr:to>
      <xdr:col>3</xdr:col>
      <xdr:colOff>168783</xdr:colOff>
      <xdr:row>27</xdr:row>
      <xdr:rowOff>30480</xdr:rowOff>
    </xdr:to>
    <xdr:grpSp>
      <xdr:nvGrpSpPr>
        <xdr:cNvPr id="50" name="Group 49">
          <a:extLst>
            <a:ext uri="{FF2B5EF4-FFF2-40B4-BE49-F238E27FC236}">
              <a16:creationId xmlns:a16="http://schemas.microsoft.com/office/drawing/2014/main" id="{18DAFC83-2DEC-413C-81EF-1D8C5D7607D3}"/>
            </a:ext>
          </a:extLst>
        </xdr:cNvPr>
        <xdr:cNvGrpSpPr/>
      </xdr:nvGrpSpPr>
      <xdr:grpSpPr>
        <a:xfrm>
          <a:off x="0" y="502920"/>
          <a:ext cx="2104263" cy="4351020"/>
          <a:chOff x="0" y="678180"/>
          <a:chExt cx="1886174" cy="4572000"/>
        </a:xfrm>
      </xdr:grpSpPr>
      <xdr:sp macro="" textlink="">
        <xdr:nvSpPr>
          <xdr:cNvPr id="45" name="Rectangle: Rounded Corners 44">
            <a:extLst>
              <a:ext uri="{FF2B5EF4-FFF2-40B4-BE49-F238E27FC236}">
                <a16:creationId xmlns:a16="http://schemas.microsoft.com/office/drawing/2014/main" id="{DA9771E7-6613-46B1-8C80-BB6444BD4656}"/>
              </a:ext>
            </a:extLst>
          </xdr:cNvPr>
          <xdr:cNvSpPr/>
        </xdr:nvSpPr>
        <xdr:spPr>
          <a:xfrm>
            <a:off x="0" y="678180"/>
            <a:ext cx="1828800" cy="4572000"/>
          </a:xfrm>
          <a:prstGeom prst="roundRect">
            <a:avLst/>
          </a:prstGeom>
          <a:solidFill>
            <a:srgbClr val="20386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u="sng">
              <a:latin typeface="Times New Roman" panose="02020603050405020304" pitchFamily="18" charset="0"/>
              <a:cs typeface="Times New Roman" panose="02020603050405020304" pitchFamily="18" charset="0"/>
            </a:endParaRPr>
          </a:p>
        </xdr:txBody>
      </xdr:sp>
      <xdr:sp macro="" textlink="">
        <xdr:nvSpPr>
          <xdr:cNvPr id="46" name="TextBox 45">
            <a:hlinkClick xmlns:r="http://schemas.openxmlformats.org/officeDocument/2006/relationships" r:id="rId4"/>
            <a:extLst>
              <a:ext uri="{FF2B5EF4-FFF2-40B4-BE49-F238E27FC236}">
                <a16:creationId xmlns:a16="http://schemas.microsoft.com/office/drawing/2014/main" id="{332A8564-6393-4650-B549-8C45FAAFECCE}"/>
              </a:ext>
            </a:extLst>
          </xdr:cNvPr>
          <xdr:cNvSpPr txBox="1"/>
        </xdr:nvSpPr>
        <xdr:spPr>
          <a:xfrm>
            <a:off x="0" y="1097280"/>
            <a:ext cx="1700733" cy="365760"/>
          </a:xfrm>
          <a:prstGeom prst="rect">
            <a:avLst/>
          </a:prstGeom>
          <a:solidFill>
            <a:schemeClr val="accent5">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Executive Overview</a:t>
            </a:r>
          </a:p>
        </xdr:txBody>
      </xdr:sp>
      <xdr:sp macro="" textlink="">
        <xdr:nvSpPr>
          <xdr:cNvPr id="47" name="TextBox 46">
            <a:hlinkClick xmlns:r="http://schemas.openxmlformats.org/officeDocument/2006/relationships" r:id="rId5"/>
            <a:extLst>
              <a:ext uri="{FF2B5EF4-FFF2-40B4-BE49-F238E27FC236}">
                <a16:creationId xmlns:a16="http://schemas.microsoft.com/office/drawing/2014/main" id="{8CA8BEFD-E9B3-47C4-B221-303FBDD4CA0B}"/>
              </a:ext>
            </a:extLst>
          </xdr:cNvPr>
          <xdr:cNvSpPr txBox="1"/>
        </xdr:nvSpPr>
        <xdr:spPr>
          <a:xfrm>
            <a:off x="0" y="1463040"/>
            <a:ext cx="1707563"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Price Analysis</a:t>
            </a:r>
          </a:p>
        </xdr:txBody>
      </xdr:sp>
      <xdr:sp macro="" textlink="">
        <xdr:nvSpPr>
          <xdr:cNvPr id="48" name="TextBox 47">
            <a:hlinkClick xmlns:r="http://schemas.openxmlformats.org/officeDocument/2006/relationships" r:id="rId6"/>
            <a:extLst>
              <a:ext uri="{FF2B5EF4-FFF2-40B4-BE49-F238E27FC236}">
                <a16:creationId xmlns:a16="http://schemas.microsoft.com/office/drawing/2014/main" id="{C4135954-FE3B-44FB-9236-00988967404F}"/>
              </a:ext>
            </a:extLst>
          </xdr:cNvPr>
          <xdr:cNvSpPr txBox="1"/>
        </xdr:nvSpPr>
        <xdr:spPr>
          <a:xfrm>
            <a:off x="0" y="1851660"/>
            <a:ext cx="1810017"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Trend &amp; Risk Analysis</a:t>
            </a:r>
          </a:p>
        </xdr:txBody>
      </xdr:sp>
      <xdr:sp macro="" textlink="">
        <xdr:nvSpPr>
          <xdr:cNvPr id="49" name="TextBox 48">
            <a:hlinkClick xmlns:r="http://schemas.openxmlformats.org/officeDocument/2006/relationships" r:id="rId7"/>
            <a:extLst>
              <a:ext uri="{FF2B5EF4-FFF2-40B4-BE49-F238E27FC236}">
                <a16:creationId xmlns:a16="http://schemas.microsoft.com/office/drawing/2014/main" id="{A909CCED-CC7E-4477-8B06-31A1469CECBA}"/>
              </a:ext>
            </a:extLst>
          </xdr:cNvPr>
          <xdr:cNvSpPr txBox="1"/>
        </xdr:nvSpPr>
        <xdr:spPr>
          <a:xfrm>
            <a:off x="0" y="2194560"/>
            <a:ext cx="1886174"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Management Insights</a:t>
            </a:r>
          </a:p>
        </xdr:txBody>
      </xdr:sp>
    </xdr:grpSp>
    <xdr:clientData/>
  </xdr:twoCellAnchor>
  <xdr:twoCellAnchor>
    <xdr:from>
      <xdr:col>10</xdr:col>
      <xdr:colOff>297180</xdr:colOff>
      <xdr:row>8</xdr:row>
      <xdr:rowOff>15240</xdr:rowOff>
    </xdr:from>
    <xdr:to>
      <xdr:col>14</xdr:col>
      <xdr:colOff>586740</xdr:colOff>
      <xdr:row>19</xdr:row>
      <xdr:rowOff>15240</xdr:rowOff>
    </xdr:to>
    <xdr:graphicFrame macro="">
      <xdr:nvGraphicFramePr>
        <xdr:cNvPr id="37" name="Chart 36">
          <a:extLst>
            <a:ext uri="{FF2B5EF4-FFF2-40B4-BE49-F238E27FC236}">
              <a16:creationId xmlns:a16="http://schemas.microsoft.com/office/drawing/2014/main" id="{D1810C68-F4F3-48B1-8B34-53C8F1B02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236220</xdr:colOff>
      <xdr:row>3</xdr:row>
      <xdr:rowOff>0</xdr:rowOff>
    </xdr:to>
    <xdr:sp macro="" textlink="">
      <xdr:nvSpPr>
        <xdr:cNvPr id="2" name="Rectangle 1">
          <a:extLst>
            <a:ext uri="{FF2B5EF4-FFF2-40B4-BE49-F238E27FC236}">
              <a16:creationId xmlns:a16="http://schemas.microsoft.com/office/drawing/2014/main" id="{5E270644-62DE-47DF-9877-C3B0B6AAAECC}"/>
            </a:ext>
          </a:extLst>
        </xdr:cNvPr>
        <xdr:cNvSpPr/>
      </xdr:nvSpPr>
      <xdr:spPr>
        <a:xfrm>
          <a:off x="0" y="0"/>
          <a:ext cx="13647420" cy="54864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Commodities Price Analysis </a:t>
          </a:r>
          <a:r>
            <a:rPr lang="en-US" sz="1800" b="1">
              <a:latin typeface="Times New Roman" panose="02020603050405020304" pitchFamily="18" charset="0"/>
              <a:cs typeface="Times New Roman" panose="02020603050405020304" pitchFamily="18" charset="0"/>
            </a:rPr>
            <a:t>(1960</a:t>
          </a:r>
          <a:r>
            <a:rPr lang="en-US" sz="1800" b="1" baseline="0">
              <a:latin typeface="Times New Roman" panose="02020603050405020304" pitchFamily="18" charset="0"/>
              <a:cs typeface="Times New Roman" panose="02020603050405020304" pitchFamily="18" charset="0"/>
            </a:rPr>
            <a:t> - 2024)</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83820</xdr:rowOff>
    </xdr:from>
    <xdr:to>
      <xdr:col>3</xdr:col>
      <xdr:colOff>45720</xdr:colOff>
      <xdr:row>27</xdr:row>
      <xdr:rowOff>22860</xdr:rowOff>
    </xdr:to>
    <xdr:sp macro="" textlink="">
      <xdr:nvSpPr>
        <xdr:cNvPr id="4" name="Rectangle: Rounded Corners 3">
          <a:extLst>
            <a:ext uri="{FF2B5EF4-FFF2-40B4-BE49-F238E27FC236}">
              <a16:creationId xmlns:a16="http://schemas.microsoft.com/office/drawing/2014/main" id="{2ABE0E4F-5757-4997-8939-32F043578B92}"/>
            </a:ext>
          </a:extLst>
        </xdr:cNvPr>
        <xdr:cNvSpPr/>
      </xdr:nvSpPr>
      <xdr:spPr>
        <a:xfrm>
          <a:off x="0" y="632460"/>
          <a:ext cx="2042160" cy="4328160"/>
        </a:xfrm>
        <a:prstGeom prst="roundRect">
          <a:avLst/>
        </a:prstGeom>
        <a:solidFill>
          <a:srgbClr val="20386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u="sng">
            <a:latin typeface="Times New Roman" panose="02020603050405020304" pitchFamily="18" charset="0"/>
            <a:cs typeface="Times New Roman" panose="02020603050405020304" pitchFamily="18" charset="0"/>
          </a:endParaRPr>
        </a:p>
      </xdr:txBody>
    </xdr:sp>
    <xdr:clientData/>
  </xdr:twoCellAnchor>
  <xdr:twoCellAnchor>
    <xdr:from>
      <xdr:col>3</xdr:col>
      <xdr:colOff>68580</xdr:colOff>
      <xdr:row>3</xdr:row>
      <xdr:rowOff>83820</xdr:rowOff>
    </xdr:from>
    <xdr:to>
      <xdr:col>6</xdr:col>
      <xdr:colOff>144780</xdr:colOff>
      <xdr:row>7</xdr:row>
      <xdr:rowOff>137160</xdr:rowOff>
    </xdr:to>
    <xdr:grpSp>
      <xdr:nvGrpSpPr>
        <xdr:cNvPr id="10" name="Group 9">
          <a:extLst>
            <a:ext uri="{FF2B5EF4-FFF2-40B4-BE49-F238E27FC236}">
              <a16:creationId xmlns:a16="http://schemas.microsoft.com/office/drawing/2014/main" id="{ACBBDD6A-E676-4765-A217-3BE0E86A6285}"/>
            </a:ext>
          </a:extLst>
        </xdr:cNvPr>
        <xdr:cNvGrpSpPr/>
      </xdr:nvGrpSpPr>
      <xdr:grpSpPr>
        <a:xfrm>
          <a:off x="2065020" y="518160"/>
          <a:ext cx="1905000" cy="784860"/>
          <a:chOff x="1851660" y="731520"/>
          <a:chExt cx="1821180" cy="1043940"/>
        </a:xfrm>
      </xdr:grpSpPr>
      <xdr:sp macro="" textlink="">
        <xdr:nvSpPr>
          <xdr:cNvPr id="11" name="Rectangle: Rounded Corners 10">
            <a:extLst>
              <a:ext uri="{FF2B5EF4-FFF2-40B4-BE49-F238E27FC236}">
                <a16:creationId xmlns:a16="http://schemas.microsoft.com/office/drawing/2014/main" id="{EBF2CF2C-27A6-4E57-957A-D7E1958CE5D4}"/>
              </a:ext>
            </a:extLst>
          </xdr:cNvPr>
          <xdr:cNvSpPr/>
        </xdr:nvSpPr>
        <xdr:spPr>
          <a:xfrm>
            <a:off x="185166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174F06B0-167D-440A-9BA3-4AA9FF777D94}"/>
              </a:ext>
            </a:extLst>
          </xdr:cNvPr>
          <xdr:cNvSpPr txBox="1"/>
        </xdr:nvSpPr>
        <xdr:spPr>
          <a:xfrm>
            <a:off x="1988820" y="815340"/>
            <a:ext cx="16351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t>Average Opening Price</a:t>
            </a:r>
          </a:p>
        </xdr:txBody>
      </xdr:sp>
      <xdr:sp macro="" textlink="Measures!$A$3">
        <xdr:nvSpPr>
          <xdr:cNvPr id="13" name="TextBox 12">
            <a:extLst>
              <a:ext uri="{FF2B5EF4-FFF2-40B4-BE49-F238E27FC236}">
                <a16:creationId xmlns:a16="http://schemas.microsoft.com/office/drawing/2014/main" id="{6586E05A-558F-4DA2-93F4-61F4515FF006}"/>
              </a:ext>
            </a:extLst>
          </xdr:cNvPr>
          <xdr:cNvSpPr txBox="1"/>
        </xdr:nvSpPr>
        <xdr:spPr>
          <a:xfrm>
            <a:off x="2255520" y="118872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053C3B-CE66-4396-B39B-D8A0605F80F1}" type="TxLink">
              <a:rPr lang="en-US" sz="1400" b="1" i="0" u="none" strike="noStrike">
                <a:solidFill>
                  <a:srgbClr val="000000"/>
                </a:solidFill>
                <a:latin typeface="Calibri"/>
                <a:ea typeface="Calibri"/>
                <a:cs typeface="Calibri"/>
              </a:rPr>
              <a:pPr algn="ctr"/>
              <a:t>$1.44</a:t>
            </a:fld>
            <a:endParaRPr lang="en-US" sz="4000" b="1"/>
          </a:p>
        </xdr:txBody>
      </xdr:sp>
    </xdr:grpSp>
    <xdr:clientData/>
  </xdr:twoCellAnchor>
  <xdr:twoCellAnchor>
    <xdr:from>
      <xdr:col>6</xdr:col>
      <xdr:colOff>213360</xdr:colOff>
      <xdr:row>3</xdr:row>
      <xdr:rowOff>83820</xdr:rowOff>
    </xdr:from>
    <xdr:to>
      <xdr:col>9</xdr:col>
      <xdr:colOff>304800</xdr:colOff>
      <xdr:row>7</xdr:row>
      <xdr:rowOff>137160</xdr:rowOff>
    </xdr:to>
    <xdr:grpSp>
      <xdr:nvGrpSpPr>
        <xdr:cNvPr id="14" name="Group 13">
          <a:extLst>
            <a:ext uri="{FF2B5EF4-FFF2-40B4-BE49-F238E27FC236}">
              <a16:creationId xmlns:a16="http://schemas.microsoft.com/office/drawing/2014/main" id="{0EE4FA32-487A-41F6-890C-6DE5DA62FA73}"/>
            </a:ext>
          </a:extLst>
        </xdr:cNvPr>
        <xdr:cNvGrpSpPr/>
      </xdr:nvGrpSpPr>
      <xdr:grpSpPr>
        <a:xfrm>
          <a:off x="4038600" y="518160"/>
          <a:ext cx="1920240" cy="784860"/>
          <a:chOff x="3817620" y="731520"/>
          <a:chExt cx="1821180" cy="1043940"/>
        </a:xfrm>
      </xdr:grpSpPr>
      <xdr:sp macro="" textlink="">
        <xdr:nvSpPr>
          <xdr:cNvPr id="15" name="Rectangle: Rounded Corners 14">
            <a:extLst>
              <a:ext uri="{FF2B5EF4-FFF2-40B4-BE49-F238E27FC236}">
                <a16:creationId xmlns:a16="http://schemas.microsoft.com/office/drawing/2014/main" id="{5185BEAE-3EA4-4938-816B-2F8E4EBDEDCB}"/>
              </a:ext>
            </a:extLst>
          </xdr:cNvPr>
          <xdr:cNvSpPr/>
        </xdr:nvSpPr>
        <xdr:spPr>
          <a:xfrm>
            <a:off x="381762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REF!">
        <xdr:nvSpPr>
          <xdr:cNvPr id="16" name="TextBox 15">
            <a:extLst>
              <a:ext uri="{FF2B5EF4-FFF2-40B4-BE49-F238E27FC236}">
                <a16:creationId xmlns:a16="http://schemas.microsoft.com/office/drawing/2014/main" id="{EC79AA53-BC51-49A9-B6E8-81316207F56B}"/>
              </a:ext>
            </a:extLst>
          </xdr:cNvPr>
          <xdr:cNvSpPr txBox="1"/>
        </xdr:nvSpPr>
        <xdr:spPr>
          <a:xfrm>
            <a:off x="3975555" y="786067"/>
            <a:ext cx="1471659"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EDD5D652-5B2A-451A-B5CC-6B491D9E38BB}" type="TxLink">
              <a:rPr lang="en-US" sz="1200" b="1" i="0" u="none" strike="noStrike">
                <a:solidFill>
                  <a:srgbClr val="000000"/>
                </a:solidFill>
                <a:latin typeface="Calibri"/>
                <a:ea typeface="Calibri"/>
                <a:cs typeface="Calibri"/>
              </a:rPr>
              <a:pPr algn="ctr"/>
              <a:t>Average Closing Price</a:t>
            </a:fld>
            <a:endParaRPr lang="en-US" sz="1400" b="1"/>
          </a:p>
        </xdr:txBody>
      </xdr:sp>
      <xdr:sp macro="" textlink="Measures!$B$3">
        <xdr:nvSpPr>
          <xdr:cNvPr id="17" name="TextBox 16">
            <a:extLst>
              <a:ext uri="{FF2B5EF4-FFF2-40B4-BE49-F238E27FC236}">
                <a16:creationId xmlns:a16="http://schemas.microsoft.com/office/drawing/2014/main" id="{4BE3720D-719C-43B7-B19C-56D358C45DD8}"/>
              </a:ext>
            </a:extLst>
          </xdr:cNvPr>
          <xdr:cNvSpPr txBox="1"/>
        </xdr:nvSpPr>
        <xdr:spPr>
          <a:xfrm>
            <a:off x="423672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8076EB-F6B6-41E8-B6A8-C93E14D7EB9C}" type="TxLink">
              <a:rPr lang="en-US" sz="1400" b="1" i="0" u="none" strike="noStrike">
                <a:solidFill>
                  <a:srgbClr val="000000"/>
                </a:solidFill>
                <a:latin typeface="Calibri"/>
                <a:ea typeface="Calibri"/>
                <a:cs typeface="Calibri"/>
              </a:rPr>
              <a:pPr algn="ctr"/>
              <a:t>$1.51</a:t>
            </a:fld>
            <a:endParaRPr lang="en-US" sz="4000" b="1"/>
          </a:p>
        </xdr:txBody>
      </xdr:sp>
    </xdr:grpSp>
    <xdr:clientData/>
  </xdr:twoCellAnchor>
  <xdr:twoCellAnchor>
    <xdr:from>
      <xdr:col>9</xdr:col>
      <xdr:colOff>388620</xdr:colOff>
      <xdr:row>3</xdr:row>
      <xdr:rowOff>91440</xdr:rowOff>
    </xdr:from>
    <xdr:to>
      <xdr:col>12</xdr:col>
      <xdr:colOff>449580</xdr:colOff>
      <xdr:row>7</xdr:row>
      <xdr:rowOff>144780</xdr:rowOff>
    </xdr:to>
    <xdr:grpSp>
      <xdr:nvGrpSpPr>
        <xdr:cNvPr id="18" name="Group 17">
          <a:extLst>
            <a:ext uri="{FF2B5EF4-FFF2-40B4-BE49-F238E27FC236}">
              <a16:creationId xmlns:a16="http://schemas.microsoft.com/office/drawing/2014/main" id="{97B34FFA-9D5A-4E2E-BAEE-B44F7343A064}"/>
            </a:ext>
          </a:extLst>
        </xdr:cNvPr>
        <xdr:cNvGrpSpPr/>
      </xdr:nvGrpSpPr>
      <xdr:grpSpPr>
        <a:xfrm>
          <a:off x="6042660" y="525780"/>
          <a:ext cx="1889760" cy="784860"/>
          <a:chOff x="5836920" y="739140"/>
          <a:chExt cx="1821180" cy="1043940"/>
        </a:xfrm>
      </xdr:grpSpPr>
      <xdr:sp macro="" textlink="">
        <xdr:nvSpPr>
          <xdr:cNvPr id="19" name="Rectangle: Rounded Corners 18">
            <a:extLst>
              <a:ext uri="{FF2B5EF4-FFF2-40B4-BE49-F238E27FC236}">
                <a16:creationId xmlns:a16="http://schemas.microsoft.com/office/drawing/2014/main" id="{0E0F8D62-7E68-437E-ACA5-66FD50F8672D}"/>
              </a:ext>
            </a:extLst>
          </xdr:cNvPr>
          <xdr:cNvSpPr/>
        </xdr:nvSpPr>
        <xdr:spPr>
          <a:xfrm>
            <a:off x="5836920" y="73914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REF!">
        <xdr:nvSpPr>
          <xdr:cNvPr id="20" name="TextBox 19">
            <a:extLst>
              <a:ext uri="{FF2B5EF4-FFF2-40B4-BE49-F238E27FC236}">
                <a16:creationId xmlns:a16="http://schemas.microsoft.com/office/drawing/2014/main" id="{E193B5FE-F8B1-4433-8394-88AAA9D5FB6A}"/>
              </a:ext>
            </a:extLst>
          </xdr:cNvPr>
          <xdr:cNvSpPr txBox="1"/>
        </xdr:nvSpPr>
        <xdr:spPr>
          <a:xfrm>
            <a:off x="6255287" y="786067"/>
            <a:ext cx="981275"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45AF5414-6AB4-4EC3-AF89-B34E6F2EE17D}" type="TxLink">
              <a:rPr lang="en-US" sz="1200" b="1" i="0" u="none" strike="noStrike">
                <a:solidFill>
                  <a:srgbClr val="000000"/>
                </a:solidFill>
                <a:latin typeface="Calibri"/>
                <a:ea typeface="Calibri"/>
                <a:cs typeface="Calibri"/>
              </a:rPr>
              <a:pPr algn="ctr"/>
              <a:t>Highest Price</a:t>
            </a:fld>
            <a:endParaRPr lang="en-US" sz="1600" b="1"/>
          </a:p>
        </xdr:txBody>
      </xdr:sp>
      <xdr:sp macro="" textlink="Measures!$I$3">
        <xdr:nvSpPr>
          <xdr:cNvPr id="21" name="TextBox 20">
            <a:extLst>
              <a:ext uri="{FF2B5EF4-FFF2-40B4-BE49-F238E27FC236}">
                <a16:creationId xmlns:a16="http://schemas.microsoft.com/office/drawing/2014/main" id="{44B42E19-059E-49F2-A8E6-A873B2C71078}"/>
              </a:ext>
            </a:extLst>
          </xdr:cNvPr>
          <xdr:cNvSpPr txBox="1"/>
        </xdr:nvSpPr>
        <xdr:spPr>
          <a:xfrm>
            <a:off x="62712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A2060B-1450-4A4C-B216-8D04DEA05570}" type="TxLink">
              <a:rPr lang="en-US" sz="1400" b="1" i="0" u="none" strike="noStrike">
                <a:solidFill>
                  <a:srgbClr val="000000"/>
                </a:solidFill>
                <a:latin typeface="Calibri"/>
                <a:ea typeface="Calibri"/>
                <a:cs typeface="Calibri"/>
              </a:rPr>
              <a:pPr algn="ctr"/>
              <a:t>$5.11</a:t>
            </a:fld>
            <a:endParaRPr lang="en-US" sz="6600" b="1"/>
          </a:p>
        </xdr:txBody>
      </xdr:sp>
    </xdr:grpSp>
    <xdr:clientData/>
  </xdr:twoCellAnchor>
  <xdr:twoCellAnchor>
    <xdr:from>
      <xdr:col>12</xdr:col>
      <xdr:colOff>533400</xdr:colOff>
      <xdr:row>3</xdr:row>
      <xdr:rowOff>76200</xdr:rowOff>
    </xdr:from>
    <xdr:to>
      <xdr:col>16</xdr:col>
      <xdr:colOff>0</xdr:colOff>
      <xdr:row>7</xdr:row>
      <xdr:rowOff>129540</xdr:rowOff>
    </xdr:to>
    <xdr:grpSp>
      <xdr:nvGrpSpPr>
        <xdr:cNvPr id="22" name="Group 21">
          <a:extLst>
            <a:ext uri="{FF2B5EF4-FFF2-40B4-BE49-F238E27FC236}">
              <a16:creationId xmlns:a16="http://schemas.microsoft.com/office/drawing/2014/main" id="{A41EEE10-D55D-4FD8-9D2D-D8DDDBFC11AC}"/>
            </a:ext>
          </a:extLst>
        </xdr:cNvPr>
        <xdr:cNvGrpSpPr/>
      </xdr:nvGrpSpPr>
      <xdr:grpSpPr>
        <a:xfrm>
          <a:off x="8016240" y="510540"/>
          <a:ext cx="1905000" cy="784860"/>
          <a:chOff x="7802880" y="723900"/>
          <a:chExt cx="1821180" cy="1043940"/>
        </a:xfrm>
      </xdr:grpSpPr>
      <xdr:sp macro="" textlink="">
        <xdr:nvSpPr>
          <xdr:cNvPr id="23" name="Rectangle: Rounded Corners 22">
            <a:extLst>
              <a:ext uri="{FF2B5EF4-FFF2-40B4-BE49-F238E27FC236}">
                <a16:creationId xmlns:a16="http://schemas.microsoft.com/office/drawing/2014/main" id="{2B790054-5A19-4C09-B743-914E2BF1B608}"/>
              </a:ext>
            </a:extLst>
          </xdr:cNvPr>
          <xdr:cNvSpPr/>
        </xdr:nvSpPr>
        <xdr:spPr>
          <a:xfrm>
            <a:off x="7802880" y="72390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F!">
        <xdr:nvSpPr>
          <xdr:cNvPr id="24" name="TextBox 23">
            <a:extLst>
              <a:ext uri="{FF2B5EF4-FFF2-40B4-BE49-F238E27FC236}">
                <a16:creationId xmlns:a16="http://schemas.microsoft.com/office/drawing/2014/main" id="{F5873E58-99CE-46D5-8847-D0AF3258A23E}"/>
              </a:ext>
            </a:extLst>
          </xdr:cNvPr>
          <xdr:cNvSpPr txBox="1"/>
        </xdr:nvSpPr>
        <xdr:spPr>
          <a:xfrm>
            <a:off x="8215674" y="786066"/>
            <a:ext cx="946699"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EFC5F80-E39E-4E3D-8F48-2703B8A70D3A}" type="TxLink">
              <a:rPr lang="en-US" sz="1200" b="1" i="0" u="none" strike="noStrike">
                <a:solidFill>
                  <a:srgbClr val="000000"/>
                </a:solidFill>
                <a:latin typeface="Calibri"/>
                <a:ea typeface="Calibri"/>
                <a:cs typeface="Calibri"/>
              </a:rPr>
              <a:pPr algn="ctr"/>
              <a:t>Lowest Price</a:t>
            </a:fld>
            <a:endParaRPr lang="en-US" sz="1800" b="1"/>
          </a:p>
        </xdr:txBody>
      </xdr:sp>
      <xdr:sp macro="" textlink="Measures!$H$3">
        <xdr:nvSpPr>
          <xdr:cNvPr id="25" name="TextBox 24">
            <a:extLst>
              <a:ext uri="{FF2B5EF4-FFF2-40B4-BE49-F238E27FC236}">
                <a16:creationId xmlns:a16="http://schemas.microsoft.com/office/drawing/2014/main" id="{300E331C-77EE-4C0E-905D-1C452C62ECB4}"/>
              </a:ext>
            </a:extLst>
          </xdr:cNvPr>
          <xdr:cNvSpPr txBox="1"/>
        </xdr:nvSpPr>
        <xdr:spPr>
          <a:xfrm>
            <a:off x="82143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FBB129-0E0E-4880-BF11-4630EF7DECA3}" type="TxLink">
              <a:rPr lang="en-US" sz="1400" b="1" i="0" u="none" strike="noStrike">
                <a:solidFill>
                  <a:srgbClr val="000000"/>
                </a:solidFill>
                <a:latin typeface="Calibri"/>
                <a:ea typeface="Calibri"/>
                <a:cs typeface="Calibri"/>
              </a:rPr>
              <a:pPr algn="ctr"/>
              <a:t>$0.27</a:t>
            </a:fld>
            <a:endParaRPr lang="en-US" sz="8800" b="1"/>
          </a:p>
        </xdr:txBody>
      </xdr:sp>
    </xdr:grpSp>
    <xdr:clientData/>
  </xdr:twoCellAnchor>
  <xdr:twoCellAnchor>
    <xdr:from>
      <xdr:col>16</xdr:col>
      <xdr:colOff>50842</xdr:colOff>
      <xdr:row>3</xdr:row>
      <xdr:rowOff>76200</xdr:rowOff>
    </xdr:from>
    <xdr:to>
      <xdr:col>19</xdr:col>
      <xdr:colOff>187580</xdr:colOff>
      <xdr:row>7</xdr:row>
      <xdr:rowOff>129540</xdr:rowOff>
    </xdr:to>
    <xdr:grpSp>
      <xdr:nvGrpSpPr>
        <xdr:cNvPr id="34" name="Group 33">
          <a:extLst>
            <a:ext uri="{FF2B5EF4-FFF2-40B4-BE49-F238E27FC236}">
              <a16:creationId xmlns:a16="http://schemas.microsoft.com/office/drawing/2014/main" id="{77621E9C-4A0D-41F0-9899-035247B76550}"/>
            </a:ext>
          </a:extLst>
        </xdr:cNvPr>
        <xdr:cNvGrpSpPr/>
      </xdr:nvGrpSpPr>
      <xdr:grpSpPr>
        <a:xfrm>
          <a:off x="9972082" y="510540"/>
          <a:ext cx="1965538" cy="784860"/>
          <a:chOff x="7749495" y="723900"/>
          <a:chExt cx="1879053" cy="1043940"/>
        </a:xfrm>
      </xdr:grpSpPr>
      <xdr:sp macro="" textlink="">
        <xdr:nvSpPr>
          <xdr:cNvPr id="35" name="Rectangle: Rounded Corners 34">
            <a:extLst>
              <a:ext uri="{FF2B5EF4-FFF2-40B4-BE49-F238E27FC236}">
                <a16:creationId xmlns:a16="http://schemas.microsoft.com/office/drawing/2014/main" id="{9530CBD0-7F75-4F30-956C-1A993657ED6D}"/>
              </a:ext>
            </a:extLst>
          </xdr:cNvPr>
          <xdr:cNvSpPr/>
        </xdr:nvSpPr>
        <xdr:spPr>
          <a:xfrm>
            <a:off x="7802880" y="72390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G$2">
        <xdr:nvSpPr>
          <xdr:cNvPr id="36" name="TextBox 35">
            <a:extLst>
              <a:ext uri="{FF2B5EF4-FFF2-40B4-BE49-F238E27FC236}">
                <a16:creationId xmlns:a16="http://schemas.microsoft.com/office/drawing/2014/main" id="{0621C651-7FA3-4E1C-A4E1-779981E3D59A}"/>
              </a:ext>
            </a:extLst>
          </xdr:cNvPr>
          <xdr:cNvSpPr txBox="1"/>
        </xdr:nvSpPr>
        <xdr:spPr>
          <a:xfrm>
            <a:off x="7749495" y="796470"/>
            <a:ext cx="1879053" cy="351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4D343E1-4DFC-42BF-9E54-2A81A2451C1E}" type="TxLink">
              <a:rPr lang="en-US" sz="1100" b="1" i="0" u="none" strike="noStrike">
                <a:solidFill>
                  <a:srgbClr val="000000"/>
                </a:solidFill>
                <a:latin typeface="Calibri"/>
                <a:ea typeface="Calibri"/>
                <a:cs typeface="Calibri"/>
              </a:rPr>
              <a:pPr algn="ctr"/>
              <a:t>Average Annual Price Range %</a:t>
            </a:fld>
            <a:endParaRPr lang="en-US" sz="2000" b="1"/>
          </a:p>
        </xdr:txBody>
      </xdr:sp>
      <xdr:sp macro="" textlink="Measures!$G$3">
        <xdr:nvSpPr>
          <xdr:cNvPr id="37" name="TextBox 36">
            <a:extLst>
              <a:ext uri="{FF2B5EF4-FFF2-40B4-BE49-F238E27FC236}">
                <a16:creationId xmlns:a16="http://schemas.microsoft.com/office/drawing/2014/main" id="{FC1B0855-9ACE-4C5F-9CB7-5B280FAE1704}"/>
              </a:ext>
            </a:extLst>
          </xdr:cNvPr>
          <xdr:cNvSpPr txBox="1"/>
        </xdr:nvSpPr>
        <xdr:spPr>
          <a:xfrm>
            <a:off x="82143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BEB31-B050-4CAC-B69B-6111ECE43EA1}" type="TxLink">
              <a:rPr lang="en-US" sz="1400" b="1" i="0" u="none" strike="noStrike">
                <a:solidFill>
                  <a:srgbClr val="000000"/>
                </a:solidFill>
                <a:latin typeface="Calibri"/>
                <a:ea typeface="Calibri"/>
                <a:cs typeface="Calibri"/>
              </a:rPr>
              <a:pPr algn="ctr"/>
              <a:t>38.45%</a:t>
            </a:fld>
            <a:endParaRPr lang="en-US" sz="9600" b="1"/>
          </a:p>
        </xdr:txBody>
      </xdr:sp>
    </xdr:grpSp>
    <xdr:clientData/>
  </xdr:twoCellAnchor>
  <xdr:twoCellAnchor>
    <xdr:from>
      <xdr:col>10</xdr:col>
      <xdr:colOff>312420</xdr:colOff>
      <xdr:row>8</xdr:row>
      <xdr:rowOff>41148</xdr:rowOff>
    </xdr:from>
    <xdr:to>
      <xdr:col>19</xdr:col>
      <xdr:colOff>182880</xdr:colOff>
      <xdr:row>17</xdr:row>
      <xdr:rowOff>175260</xdr:rowOff>
    </xdr:to>
    <xdr:graphicFrame macro="">
      <xdr:nvGraphicFramePr>
        <xdr:cNvPr id="26" name="Chart 25">
          <a:extLst>
            <a:ext uri="{FF2B5EF4-FFF2-40B4-BE49-F238E27FC236}">
              <a16:creationId xmlns:a16="http://schemas.microsoft.com/office/drawing/2014/main" id="{7E57F057-E99D-4CEC-BD69-F55FB4734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121920</xdr:rowOff>
    </xdr:from>
    <xdr:to>
      <xdr:col>4</xdr:col>
      <xdr:colOff>121920</xdr:colOff>
      <xdr:row>7</xdr:row>
      <xdr:rowOff>119482</xdr:rowOff>
    </xdr:to>
    <xdr:sp macro="" textlink="">
      <xdr:nvSpPr>
        <xdr:cNvPr id="30" name="TextBox 29">
          <a:hlinkClick xmlns:r="http://schemas.openxmlformats.org/officeDocument/2006/relationships" r:id="rId2"/>
          <a:extLst>
            <a:ext uri="{FF2B5EF4-FFF2-40B4-BE49-F238E27FC236}">
              <a16:creationId xmlns:a16="http://schemas.microsoft.com/office/drawing/2014/main" id="{DB3723BD-2ABB-4F77-9C9A-FBE01DEFAF36}"/>
            </a:ext>
          </a:extLst>
        </xdr:cNvPr>
        <xdr:cNvSpPr txBox="1"/>
      </xdr:nvSpPr>
      <xdr:spPr>
        <a:xfrm>
          <a:off x="0" y="1036320"/>
          <a:ext cx="2560320" cy="36332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Executive Overview</a:t>
          </a:r>
        </a:p>
      </xdr:txBody>
    </xdr:sp>
    <xdr:clientData/>
  </xdr:twoCellAnchor>
  <xdr:twoCellAnchor>
    <xdr:from>
      <xdr:col>0</xdr:col>
      <xdr:colOff>0</xdr:colOff>
      <xdr:row>7</xdr:row>
      <xdr:rowOff>116738</xdr:rowOff>
    </xdr:from>
    <xdr:to>
      <xdr:col>2</xdr:col>
      <xdr:colOff>678180</xdr:colOff>
      <xdr:row>9</xdr:row>
      <xdr:rowOff>114300</xdr:rowOff>
    </xdr:to>
    <xdr:sp macro="" textlink="">
      <xdr:nvSpPr>
        <xdr:cNvPr id="31" name="TextBox 30">
          <a:hlinkClick xmlns:r="http://schemas.openxmlformats.org/officeDocument/2006/relationships" r:id="rId3"/>
          <a:extLst>
            <a:ext uri="{FF2B5EF4-FFF2-40B4-BE49-F238E27FC236}">
              <a16:creationId xmlns:a16="http://schemas.microsoft.com/office/drawing/2014/main" id="{8F4E224A-8619-426F-8908-4259EB4D7CCF}"/>
            </a:ext>
          </a:extLst>
        </xdr:cNvPr>
        <xdr:cNvSpPr txBox="1"/>
      </xdr:nvSpPr>
      <xdr:spPr>
        <a:xfrm>
          <a:off x="0" y="1396898"/>
          <a:ext cx="1897380" cy="363322"/>
        </a:xfrm>
        <a:prstGeom prst="rect">
          <a:avLst/>
        </a:prstGeom>
        <a:solidFill>
          <a:schemeClr val="accent5">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Price Analysis</a:t>
          </a:r>
        </a:p>
      </xdr:txBody>
    </xdr:sp>
    <xdr:clientData/>
  </xdr:twoCellAnchor>
  <xdr:twoCellAnchor editAs="oneCell">
    <xdr:from>
      <xdr:col>19</xdr:col>
      <xdr:colOff>243840</xdr:colOff>
      <xdr:row>18</xdr:row>
      <xdr:rowOff>30481</xdr:rowOff>
    </xdr:from>
    <xdr:to>
      <xdr:col>22</xdr:col>
      <xdr:colOff>243840</xdr:colOff>
      <xdr:row>26</xdr:row>
      <xdr:rowOff>175260</xdr:rowOff>
    </xdr:to>
    <mc:AlternateContent xmlns:mc="http://schemas.openxmlformats.org/markup-compatibility/2006" xmlns:a14="http://schemas.microsoft.com/office/drawing/2010/main">
      <mc:Choice Requires="a14">
        <xdr:graphicFrame macro="">
          <xdr:nvGraphicFramePr>
            <xdr:cNvPr id="41" name="Year 4">
              <a:extLst>
                <a:ext uri="{FF2B5EF4-FFF2-40B4-BE49-F238E27FC236}">
                  <a16:creationId xmlns:a16="http://schemas.microsoft.com/office/drawing/2014/main" id="{1E7EB894-C856-4AD4-BA89-58E6B0D269F6}"/>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1993880" y="3322321"/>
              <a:ext cx="1828800" cy="1607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243840</xdr:colOff>
      <xdr:row>12</xdr:row>
      <xdr:rowOff>160020</xdr:rowOff>
    </xdr:from>
    <xdr:to>
      <xdr:col>22</xdr:col>
      <xdr:colOff>243840</xdr:colOff>
      <xdr:row>17</xdr:row>
      <xdr:rowOff>144779</xdr:rowOff>
    </xdr:to>
    <mc:AlternateContent xmlns:mc="http://schemas.openxmlformats.org/markup-compatibility/2006" xmlns:a14="http://schemas.microsoft.com/office/drawing/2010/main">
      <mc:Choice Requires="a14">
        <xdr:graphicFrame macro="">
          <xdr:nvGraphicFramePr>
            <xdr:cNvPr id="42" name="Growth Status 2">
              <a:extLst>
                <a:ext uri="{FF2B5EF4-FFF2-40B4-BE49-F238E27FC236}">
                  <a16:creationId xmlns:a16="http://schemas.microsoft.com/office/drawing/2014/main" id="{7AB1E76B-1A70-41BA-84D6-F86788148F6F}"/>
                </a:ext>
              </a:extLst>
            </xdr:cNvPr>
            <xdr:cNvGraphicFramePr/>
          </xdr:nvGraphicFramePr>
          <xdr:xfrm>
            <a:off x="0" y="0"/>
            <a:ext cx="0" cy="0"/>
          </xdr:xfrm>
          <a:graphic>
            <a:graphicData uri="http://schemas.microsoft.com/office/drawing/2010/slicer">
              <sle:slicer xmlns:sle="http://schemas.microsoft.com/office/drawing/2010/slicer" name="Growth Status 2"/>
            </a:graphicData>
          </a:graphic>
        </xdr:graphicFrame>
      </mc:Choice>
      <mc:Fallback xmlns="">
        <xdr:sp macro="" textlink="">
          <xdr:nvSpPr>
            <xdr:cNvPr id="0" name=""/>
            <xdr:cNvSpPr>
              <a:spLocks noTextEdit="1"/>
            </xdr:cNvSpPr>
          </xdr:nvSpPr>
          <xdr:spPr>
            <a:xfrm>
              <a:off x="11993880" y="2354580"/>
              <a:ext cx="18288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251460</xdr:colOff>
      <xdr:row>3</xdr:row>
      <xdr:rowOff>83821</xdr:rowOff>
    </xdr:from>
    <xdr:to>
      <xdr:col>22</xdr:col>
      <xdr:colOff>251460</xdr:colOff>
      <xdr:row>12</xdr:row>
      <xdr:rowOff>99060</xdr:rowOff>
    </xdr:to>
    <mc:AlternateContent xmlns:mc="http://schemas.openxmlformats.org/markup-compatibility/2006" xmlns:a14="http://schemas.microsoft.com/office/drawing/2010/main">
      <mc:Choice Requires="a14">
        <xdr:graphicFrame macro="">
          <xdr:nvGraphicFramePr>
            <xdr:cNvPr id="43" name="Commodities 1">
              <a:extLst>
                <a:ext uri="{FF2B5EF4-FFF2-40B4-BE49-F238E27FC236}">
                  <a16:creationId xmlns:a16="http://schemas.microsoft.com/office/drawing/2014/main" id="{BE5AE390-0847-4EA1-8DF4-3AB707D392D3}"/>
                </a:ext>
              </a:extLst>
            </xdr:cNvPr>
            <xdr:cNvGraphicFramePr/>
          </xdr:nvGraphicFramePr>
          <xdr:xfrm>
            <a:off x="0" y="0"/>
            <a:ext cx="0" cy="0"/>
          </xdr:xfrm>
          <a:graphic>
            <a:graphicData uri="http://schemas.microsoft.com/office/drawing/2010/slicer">
              <sle:slicer xmlns:sle="http://schemas.microsoft.com/office/drawing/2010/slicer" name="Commodities 1"/>
            </a:graphicData>
          </a:graphic>
        </xdr:graphicFrame>
      </mc:Choice>
      <mc:Fallback xmlns="">
        <xdr:sp macro="" textlink="">
          <xdr:nvSpPr>
            <xdr:cNvPr id="0" name=""/>
            <xdr:cNvSpPr>
              <a:spLocks noTextEdit="1"/>
            </xdr:cNvSpPr>
          </xdr:nvSpPr>
          <xdr:spPr>
            <a:xfrm>
              <a:off x="12001500" y="63246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8</xdr:row>
      <xdr:rowOff>22860</xdr:rowOff>
    </xdr:from>
    <xdr:to>
      <xdr:col>10</xdr:col>
      <xdr:colOff>190500</xdr:colOff>
      <xdr:row>27</xdr:row>
      <xdr:rowOff>7620</xdr:rowOff>
    </xdr:to>
    <xdr:graphicFrame macro="">
      <xdr:nvGraphicFramePr>
        <xdr:cNvPr id="44" name="Chart 43">
          <a:extLst>
            <a:ext uri="{FF2B5EF4-FFF2-40B4-BE49-F238E27FC236}">
              <a16:creationId xmlns:a16="http://schemas.microsoft.com/office/drawing/2014/main" id="{63BB8E80-6AC8-4004-8AD1-EE7CDC5CE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312420</xdr:colOff>
      <xdr:row>18</xdr:row>
      <xdr:rowOff>22860</xdr:rowOff>
    </xdr:from>
    <xdr:to>
      <xdr:col>19</xdr:col>
      <xdr:colOff>175260</xdr:colOff>
      <xdr:row>27</xdr:row>
      <xdr:rowOff>0</xdr:rowOff>
    </xdr:to>
    <xdr:graphicFrame macro="">
      <xdr:nvGraphicFramePr>
        <xdr:cNvPr id="45" name="Chart 44">
          <a:extLst>
            <a:ext uri="{FF2B5EF4-FFF2-40B4-BE49-F238E27FC236}">
              <a16:creationId xmlns:a16="http://schemas.microsoft.com/office/drawing/2014/main" id="{E5BCC19A-8F2E-4260-A4DF-F3DB23E5D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xdr:row>
      <xdr:rowOff>138435</xdr:rowOff>
    </xdr:from>
    <xdr:to>
      <xdr:col>3</xdr:col>
      <xdr:colOff>0</xdr:colOff>
      <xdr:row>11</xdr:row>
      <xdr:rowOff>102968</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97B30BF9-9BB9-48A0-BFB7-E6556083512A}"/>
            </a:ext>
          </a:extLst>
        </xdr:cNvPr>
        <xdr:cNvSpPr txBox="1"/>
      </xdr:nvSpPr>
      <xdr:spPr>
        <a:xfrm>
          <a:off x="0" y="1784355"/>
          <a:ext cx="1996440" cy="33029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Trend &amp; Risk Analysis</a:t>
          </a:r>
        </a:p>
      </xdr:txBody>
    </xdr:sp>
    <xdr:clientData/>
  </xdr:twoCellAnchor>
  <xdr:twoCellAnchor>
    <xdr:from>
      <xdr:col>0</xdr:col>
      <xdr:colOff>0</xdr:colOff>
      <xdr:row>11</xdr:row>
      <xdr:rowOff>114300</xdr:rowOff>
    </xdr:from>
    <xdr:to>
      <xdr:col>3</xdr:col>
      <xdr:colOff>22860</xdr:colOff>
      <xdr:row>13</xdr:row>
      <xdr:rowOff>100279</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45D624BC-B6C1-4463-9C9E-DDBB40CF0366}"/>
            </a:ext>
          </a:extLst>
        </xdr:cNvPr>
        <xdr:cNvSpPr txBox="1"/>
      </xdr:nvSpPr>
      <xdr:spPr>
        <a:xfrm>
          <a:off x="0" y="2125980"/>
          <a:ext cx="2019300" cy="35173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Management</a:t>
          </a:r>
          <a:r>
            <a:rPr lang="en-US" sz="1600" b="1" u="sng" baseline="0">
              <a:solidFill>
                <a:schemeClr val="bg1"/>
              </a:solidFill>
            </a:rPr>
            <a:t> Insights</a:t>
          </a:r>
          <a:endParaRPr lang="en-US" sz="1600" b="1" u="sng">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1447800</xdr:colOff>
      <xdr:row>3</xdr:row>
      <xdr:rowOff>0</xdr:rowOff>
    </xdr:to>
    <xdr:sp macro="" textlink="">
      <xdr:nvSpPr>
        <xdr:cNvPr id="2" name="Rectangle 1">
          <a:extLst>
            <a:ext uri="{FF2B5EF4-FFF2-40B4-BE49-F238E27FC236}">
              <a16:creationId xmlns:a16="http://schemas.microsoft.com/office/drawing/2014/main" id="{57D85A73-15E4-4A68-8A79-95098100706C}"/>
            </a:ext>
          </a:extLst>
        </xdr:cNvPr>
        <xdr:cNvSpPr/>
      </xdr:nvSpPr>
      <xdr:spPr>
        <a:xfrm>
          <a:off x="0" y="0"/>
          <a:ext cx="13472160" cy="54864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Trend &amp; Risk Analysis </a:t>
          </a:r>
          <a:r>
            <a:rPr lang="en-US" sz="1800" b="1">
              <a:latin typeface="Times New Roman" panose="02020603050405020304" pitchFamily="18" charset="0"/>
              <a:cs typeface="Times New Roman" panose="02020603050405020304" pitchFamily="18" charset="0"/>
            </a:rPr>
            <a:t>(1960</a:t>
          </a:r>
          <a:r>
            <a:rPr lang="en-US" sz="1800" b="1" baseline="0">
              <a:latin typeface="Times New Roman" panose="02020603050405020304" pitchFamily="18" charset="0"/>
              <a:cs typeface="Times New Roman" panose="02020603050405020304" pitchFamily="18" charset="0"/>
            </a:rPr>
            <a:t> - 2024)</a:t>
          </a:r>
          <a:endParaRPr lang="en-US" sz="24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3</xdr:row>
      <xdr:rowOff>60960</xdr:rowOff>
    </xdr:from>
    <xdr:to>
      <xdr:col>4</xdr:col>
      <xdr:colOff>251460</xdr:colOff>
      <xdr:row>27</xdr:row>
      <xdr:rowOff>7620</xdr:rowOff>
    </xdr:to>
    <xdr:grpSp>
      <xdr:nvGrpSpPr>
        <xdr:cNvPr id="3" name="Group 2">
          <a:extLst>
            <a:ext uri="{FF2B5EF4-FFF2-40B4-BE49-F238E27FC236}">
              <a16:creationId xmlns:a16="http://schemas.microsoft.com/office/drawing/2014/main" id="{7F01A549-2EAE-4A9D-9443-C25F1D28B91D}"/>
            </a:ext>
          </a:extLst>
        </xdr:cNvPr>
        <xdr:cNvGrpSpPr/>
      </xdr:nvGrpSpPr>
      <xdr:grpSpPr>
        <a:xfrm>
          <a:off x="0" y="495300"/>
          <a:ext cx="2743200" cy="4335780"/>
          <a:chOff x="0" y="678180"/>
          <a:chExt cx="2438400" cy="4572000"/>
        </a:xfrm>
      </xdr:grpSpPr>
      <xdr:sp macro="" textlink="">
        <xdr:nvSpPr>
          <xdr:cNvPr id="4" name="Rectangle: Rounded Corners 3">
            <a:extLst>
              <a:ext uri="{FF2B5EF4-FFF2-40B4-BE49-F238E27FC236}">
                <a16:creationId xmlns:a16="http://schemas.microsoft.com/office/drawing/2014/main" id="{1487A7BA-91CE-4444-BB09-22D93E2C8786}"/>
              </a:ext>
            </a:extLst>
          </xdr:cNvPr>
          <xdr:cNvSpPr/>
        </xdr:nvSpPr>
        <xdr:spPr>
          <a:xfrm>
            <a:off x="0" y="678180"/>
            <a:ext cx="1828800" cy="4572000"/>
          </a:xfrm>
          <a:prstGeom prst="roundRect">
            <a:avLst/>
          </a:prstGeom>
          <a:solidFill>
            <a:srgbClr val="20386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u="sng">
              <a:latin typeface="Times New Roman" panose="02020603050405020304" pitchFamily="18" charset="0"/>
              <a:cs typeface="Times New Roman" panose="02020603050405020304" pitchFamily="18" charset="0"/>
            </a:endParaRPr>
          </a:p>
        </xdr:txBody>
      </xdr:sp>
      <xdr:sp macro="" textlink="">
        <xdr:nvSpPr>
          <xdr:cNvPr id="5" name="TextBox 4">
            <a:hlinkClick xmlns:r="http://schemas.openxmlformats.org/officeDocument/2006/relationships" r:id="rId1"/>
            <a:extLst>
              <a:ext uri="{FF2B5EF4-FFF2-40B4-BE49-F238E27FC236}">
                <a16:creationId xmlns:a16="http://schemas.microsoft.com/office/drawing/2014/main" id="{55B4F44E-DF7E-4C7C-B3C0-64A2B4FC3F05}"/>
              </a:ext>
            </a:extLst>
          </xdr:cNvPr>
          <xdr:cNvSpPr txBox="1"/>
        </xdr:nvSpPr>
        <xdr:spPr>
          <a:xfrm>
            <a:off x="0" y="1097280"/>
            <a:ext cx="2438400"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Executive Overview</a:t>
            </a:r>
          </a:p>
        </xdr:txBody>
      </xdr:sp>
      <xdr:sp macro="" textlink="">
        <xdr:nvSpPr>
          <xdr:cNvPr id="6" name="TextBox 5">
            <a:hlinkClick xmlns:r="http://schemas.openxmlformats.org/officeDocument/2006/relationships" r:id="rId2"/>
            <a:extLst>
              <a:ext uri="{FF2B5EF4-FFF2-40B4-BE49-F238E27FC236}">
                <a16:creationId xmlns:a16="http://schemas.microsoft.com/office/drawing/2014/main" id="{D286F259-E289-42FE-9F39-71BACF8E3C42}"/>
              </a:ext>
            </a:extLst>
          </xdr:cNvPr>
          <xdr:cNvSpPr txBox="1"/>
        </xdr:nvSpPr>
        <xdr:spPr>
          <a:xfrm>
            <a:off x="0" y="1463040"/>
            <a:ext cx="2438400"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Price Analysis</a:t>
            </a:r>
          </a:p>
        </xdr:txBody>
      </xdr:sp>
      <xdr:sp macro="" textlink="">
        <xdr:nvSpPr>
          <xdr:cNvPr id="7" name="TextBox 6">
            <a:hlinkClick xmlns:r="http://schemas.openxmlformats.org/officeDocument/2006/relationships" r:id="rId3"/>
            <a:extLst>
              <a:ext uri="{FF2B5EF4-FFF2-40B4-BE49-F238E27FC236}">
                <a16:creationId xmlns:a16="http://schemas.microsoft.com/office/drawing/2014/main" id="{02A3DC4B-8D39-4218-AB7A-1E25DDD72F80}"/>
              </a:ext>
            </a:extLst>
          </xdr:cNvPr>
          <xdr:cNvSpPr txBox="1"/>
        </xdr:nvSpPr>
        <xdr:spPr>
          <a:xfrm>
            <a:off x="1" y="1851660"/>
            <a:ext cx="1788160" cy="365760"/>
          </a:xfrm>
          <a:prstGeom prst="rect">
            <a:avLst/>
          </a:prstGeom>
          <a:solidFill>
            <a:schemeClr val="accent5">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Trend &amp; Risk Analysis</a:t>
            </a:r>
          </a:p>
        </xdr:txBody>
      </xdr:sp>
      <xdr:sp macro="" textlink="">
        <xdr:nvSpPr>
          <xdr:cNvPr id="8" name="TextBox 7">
            <a:hlinkClick xmlns:r="http://schemas.openxmlformats.org/officeDocument/2006/relationships" r:id="rId4"/>
            <a:extLst>
              <a:ext uri="{FF2B5EF4-FFF2-40B4-BE49-F238E27FC236}">
                <a16:creationId xmlns:a16="http://schemas.microsoft.com/office/drawing/2014/main" id="{AD60231E-E2EF-4122-85A5-5A8DB12C8E59}"/>
              </a:ext>
            </a:extLst>
          </xdr:cNvPr>
          <xdr:cNvSpPr txBox="1"/>
        </xdr:nvSpPr>
        <xdr:spPr>
          <a:xfrm>
            <a:off x="0" y="2234179"/>
            <a:ext cx="1943548"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Management Insights</a:t>
            </a:r>
          </a:p>
        </xdr:txBody>
      </xdr:sp>
    </xdr:grpSp>
    <xdr:clientData/>
  </xdr:twoCellAnchor>
  <xdr:twoCellAnchor>
    <xdr:from>
      <xdr:col>3</xdr:col>
      <xdr:colOff>220980</xdr:colOff>
      <xdr:row>3</xdr:row>
      <xdr:rowOff>83820</xdr:rowOff>
    </xdr:from>
    <xdr:to>
      <xdr:col>6</xdr:col>
      <xdr:colOff>297180</xdr:colOff>
      <xdr:row>7</xdr:row>
      <xdr:rowOff>137160</xdr:rowOff>
    </xdr:to>
    <xdr:grpSp>
      <xdr:nvGrpSpPr>
        <xdr:cNvPr id="9" name="Group 8">
          <a:extLst>
            <a:ext uri="{FF2B5EF4-FFF2-40B4-BE49-F238E27FC236}">
              <a16:creationId xmlns:a16="http://schemas.microsoft.com/office/drawing/2014/main" id="{91C3ACC9-C23E-47F9-AEBD-58C9A4DE3719}"/>
            </a:ext>
          </a:extLst>
        </xdr:cNvPr>
        <xdr:cNvGrpSpPr/>
      </xdr:nvGrpSpPr>
      <xdr:grpSpPr>
        <a:xfrm>
          <a:off x="2103120" y="518160"/>
          <a:ext cx="1905000" cy="784860"/>
          <a:chOff x="1851660" y="731520"/>
          <a:chExt cx="1821180" cy="1043940"/>
        </a:xfrm>
      </xdr:grpSpPr>
      <xdr:sp macro="" textlink="">
        <xdr:nvSpPr>
          <xdr:cNvPr id="10" name="Rectangle: Rounded Corners 9">
            <a:extLst>
              <a:ext uri="{FF2B5EF4-FFF2-40B4-BE49-F238E27FC236}">
                <a16:creationId xmlns:a16="http://schemas.microsoft.com/office/drawing/2014/main" id="{E86D6BE7-0DAC-4C3B-B9AD-6CDB52C4695A}"/>
              </a:ext>
            </a:extLst>
          </xdr:cNvPr>
          <xdr:cNvSpPr/>
        </xdr:nvSpPr>
        <xdr:spPr>
          <a:xfrm>
            <a:off x="185166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3rd Page'!A1">
        <xdr:nvSpPr>
          <xdr:cNvPr id="11" name="TextBox 10">
            <a:extLst>
              <a:ext uri="{FF2B5EF4-FFF2-40B4-BE49-F238E27FC236}">
                <a16:creationId xmlns:a16="http://schemas.microsoft.com/office/drawing/2014/main" id="{036CA753-1FAC-43F8-8DB3-080DBC02286C}"/>
              </a:ext>
            </a:extLst>
          </xdr:cNvPr>
          <xdr:cNvSpPr txBox="1"/>
        </xdr:nvSpPr>
        <xdr:spPr>
          <a:xfrm>
            <a:off x="2430683" y="769094"/>
            <a:ext cx="751401"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0E8510BE-7FCF-4973-B1FD-8C55E3AB4ED2}" type="TxLink">
              <a:rPr lang="en-US" sz="1200" b="1" i="0" u="none" strike="noStrike">
                <a:solidFill>
                  <a:srgbClr val="000000"/>
                </a:solidFill>
                <a:latin typeface="Calibri"/>
                <a:ea typeface="Calibri"/>
                <a:cs typeface="Calibri"/>
              </a:rPr>
              <a:pPr algn="ctr"/>
              <a:t>Best Year</a:t>
            </a:fld>
            <a:endParaRPr lang="en-US" sz="1800" b="1"/>
          </a:p>
        </xdr:txBody>
      </xdr:sp>
      <xdr:sp macro="" textlink="'Measures-3rd Page'!$A$2">
        <xdr:nvSpPr>
          <xdr:cNvPr id="12" name="TextBox 11">
            <a:extLst>
              <a:ext uri="{FF2B5EF4-FFF2-40B4-BE49-F238E27FC236}">
                <a16:creationId xmlns:a16="http://schemas.microsoft.com/office/drawing/2014/main" id="{E8ACE33C-9B86-4FEC-AD78-528218A402A1}"/>
              </a:ext>
            </a:extLst>
          </xdr:cNvPr>
          <xdr:cNvSpPr txBox="1"/>
        </xdr:nvSpPr>
        <xdr:spPr>
          <a:xfrm>
            <a:off x="2255520" y="118872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BB3629-26F6-4070-84E4-3AC7DF5B8DD7}" type="TxLink">
              <a:rPr lang="en-US" sz="1400" b="1" i="0" u="none" strike="noStrike">
                <a:solidFill>
                  <a:srgbClr val="000000"/>
                </a:solidFill>
                <a:latin typeface="Calibri"/>
                <a:ea typeface="Calibri"/>
                <a:cs typeface="Calibri"/>
              </a:rPr>
              <a:pPr algn="ctr"/>
              <a:t>1969</a:t>
            </a:fld>
            <a:endParaRPr lang="en-US" sz="4800" b="1"/>
          </a:p>
        </xdr:txBody>
      </xdr:sp>
    </xdr:grpSp>
    <xdr:clientData/>
  </xdr:twoCellAnchor>
  <xdr:twoCellAnchor>
    <xdr:from>
      <xdr:col>6</xdr:col>
      <xdr:colOff>365760</xdr:colOff>
      <xdr:row>3</xdr:row>
      <xdr:rowOff>83820</xdr:rowOff>
    </xdr:from>
    <xdr:to>
      <xdr:col>9</xdr:col>
      <xdr:colOff>457200</xdr:colOff>
      <xdr:row>7</xdr:row>
      <xdr:rowOff>137160</xdr:rowOff>
    </xdr:to>
    <xdr:grpSp>
      <xdr:nvGrpSpPr>
        <xdr:cNvPr id="13" name="Group 12">
          <a:extLst>
            <a:ext uri="{FF2B5EF4-FFF2-40B4-BE49-F238E27FC236}">
              <a16:creationId xmlns:a16="http://schemas.microsoft.com/office/drawing/2014/main" id="{9044AC47-89D6-47F3-990A-E8B8D2ECBF6C}"/>
            </a:ext>
          </a:extLst>
        </xdr:cNvPr>
        <xdr:cNvGrpSpPr/>
      </xdr:nvGrpSpPr>
      <xdr:grpSpPr>
        <a:xfrm>
          <a:off x="4076700" y="518160"/>
          <a:ext cx="1920240" cy="784860"/>
          <a:chOff x="3817620" y="731520"/>
          <a:chExt cx="1821180" cy="1043940"/>
        </a:xfrm>
      </xdr:grpSpPr>
      <xdr:sp macro="" textlink="">
        <xdr:nvSpPr>
          <xdr:cNvPr id="14" name="Rectangle: Rounded Corners 13">
            <a:extLst>
              <a:ext uri="{FF2B5EF4-FFF2-40B4-BE49-F238E27FC236}">
                <a16:creationId xmlns:a16="http://schemas.microsoft.com/office/drawing/2014/main" id="{8F58CB44-4DA5-42A8-891E-8FDF00DA701B}"/>
              </a:ext>
            </a:extLst>
          </xdr:cNvPr>
          <xdr:cNvSpPr/>
        </xdr:nvSpPr>
        <xdr:spPr>
          <a:xfrm>
            <a:off x="381762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Measures-3rd Page'!B1">
        <xdr:nvSpPr>
          <xdr:cNvPr id="15" name="TextBox 14">
            <a:extLst>
              <a:ext uri="{FF2B5EF4-FFF2-40B4-BE49-F238E27FC236}">
                <a16:creationId xmlns:a16="http://schemas.microsoft.com/office/drawing/2014/main" id="{05B43C8B-809E-4FBD-BD6B-0FE20E8CD803}"/>
              </a:ext>
            </a:extLst>
          </xdr:cNvPr>
          <xdr:cNvSpPr txBox="1"/>
        </xdr:nvSpPr>
        <xdr:spPr>
          <a:xfrm>
            <a:off x="4268944" y="786067"/>
            <a:ext cx="884880"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6B3D91E5-B14E-4EED-AC94-C0BB1CC665A0}" type="TxLink">
              <a:rPr lang="en-US" sz="1200" b="1" i="0" u="none" strike="noStrike">
                <a:solidFill>
                  <a:srgbClr val="000000"/>
                </a:solidFill>
                <a:latin typeface="Calibri"/>
                <a:ea typeface="Calibri"/>
                <a:cs typeface="Calibri"/>
              </a:rPr>
              <a:pPr algn="ctr"/>
              <a:t>Best Year %</a:t>
            </a:fld>
            <a:endParaRPr lang="en-US" sz="1600" b="1"/>
          </a:p>
        </xdr:txBody>
      </xdr:sp>
      <xdr:sp macro="" textlink="'Measures-3rd Page'!B2">
        <xdr:nvSpPr>
          <xdr:cNvPr id="16" name="TextBox 15">
            <a:extLst>
              <a:ext uri="{FF2B5EF4-FFF2-40B4-BE49-F238E27FC236}">
                <a16:creationId xmlns:a16="http://schemas.microsoft.com/office/drawing/2014/main" id="{FA8D7B09-922E-4C98-96B7-9B524143C6D8}"/>
              </a:ext>
            </a:extLst>
          </xdr:cNvPr>
          <xdr:cNvSpPr txBox="1"/>
        </xdr:nvSpPr>
        <xdr:spPr>
          <a:xfrm>
            <a:off x="423672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2CD315-9420-4E36-9789-4D64BC834AA0}" type="TxLink">
              <a:rPr lang="en-US" sz="1400" b="1" i="0" u="none" strike="noStrike">
                <a:solidFill>
                  <a:srgbClr val="000000"/>
                </a:solidFill>
                <a:latin typeface="Calibri"/>
                <a:ea typeface="Calibri"/>
                <a:cs typeface="Calibri"/>
              </a:rPr>
              <a:pPr algn="ctr"/>
              <a:t>85.08%</a:t>
            </a:fld>
            <a:endParaRPr lang="en-US" sz="4800" b="1"/>
          </a:p>
        </xdr:txBody>
      </xdr:sp>
    </xdr:grpSp>
    <xdr:clientData/>
  </xdr:twoCellAnchor>
  <xdr:twoCellAnchor>
    <xdr:from>
      <xdr:col>9</xdr:col>
      <xdr:colOff>541020</xdr:colOff>
      <xdr:row>3</xdr:row>
      <xdr:rowOff>91440</xdr:rowOff>
    </xdr:from>
    <xdr:to>
      <xdr:col>12</xdr:col>
      <xdr:colOff>114300</xdr:colOff>
      <xdr:row>7</xdr:row>
      <xdr:rowOff>144780</xdr:rowOff>
    </xdr:to>
    <xdr:grpSp>
      <xdr:nvGrpSpPr>
        <xdr:cNvPr id="17" name="Group 16">
          <a:extLst>
            <a:ext uri="{FF2B5EF4-FFF2-40B4-BE49-F238E27FC236}">
              <a16:creationId xmlns:a16="http://schemas.microsoft.com/office/drawing/2014/main" id="{54E234AD-6DDE-4372-80DC-526583A56507}"/>
            </a:ext>
          </a:extLst>
        </xdr:cNvPr>
        <xdr:cNvGrpSpPr/>
      </xdr:nvGrpSpPr>
      <xdr:grpSpPr>
        <a:xfrm>
          <a:off x="6080760" y="525780"/>
          <a:ext cx="1775460" cy="784860"/>
          <a:chOff x="5836920" y="739140"/>
          <a:chExt cx="1821180" cy="1043940"/>
        </a:xfrm>
      </xdr:grpSpPr>
      <xdr:sp macro="" textlink="">
        <xdr:nvSpPr>
          <xdr:cNvPr id="18" name="Rectangle: Rounded Corners 17">
            <a:extLst>
              <a:ext uri="{FF2B5EF4-FFF2-40B4-BE49-F238E27FC236}">
                <a16:creationId xmlns:a16="http://schemas.microsoft.com/office/drawing/2014/main" id="{ACBB0624-2352-4EA2-96AD-8DFC12BCB79E}"/>
              </a:ext>
            </a:extLst>
          </xdr:cNvPr>
          <xdr:cNvSpPr/>
        </xdr:nvSpPr>
        <xdr:spPr>
          <a:xfrm>
            <a:off x="5836920" y="73914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Measures-3rd Page'!C1">
        <xdr:nvSpPr>
          <xdr:cNvPr id="19" name="TextBox 18">
            <a:extLst>
              <a:ext uri="{FF2B5EF4-FFF2-40B4-BE49-F238E27FC236}">
                <a16:creationId xmlns:a16="http://schemas.microsoft.com/office/drawing/2014/main" id="{12994970-70B8-4062-B8D8-F5C3A4EAA031}"/>
              </a:ext>
            </a:extLst>
          </xdr:cNvPr>
          <xdr:cNvSpPr txBox="1"/>
        </xdr:nvSpPr>
        <xdr:spPr>
          <a:xfrm>
            <a:off x="6284770" y="786067"/>
            <a:ext cx="922311"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D9478B6-8C68-41D1-9041-0660322CA894}" type="TxLink">
              <a:rPr lang="en-US" sz="1200" b="1" i="0" u="none" strike="noStrike">
                <a:solidFill>
                  <a:srgbClr val="000000"/>
                </a:solidFill>
                <a:latin typeface="Calibri"/>
                <a:ea typeface="Calibri"/>
                <a:cs typeface="Calibri"/>
              </a:rPr>
              <a:pPr algn="ctr"/>
              <a:t>Worst Year</a:t>
            </a:fld>
            <a:endParaRPr lang="en-US" sz="1800" b="1"/>
          </a:p>
        </xdr:txBody>
      </xdr:sp>
      <xdr:sp macro="" textlink="'Measures-3rd Page'!C2">
        <xdr:nvSpPr>
          <xdr:cNvPr id="20" name="TextBox 19">
            <a:extLst>
              <a:ext uri="{FF2B5EF4-FFF2-40B4-BE49-F238E27FC236}">
                <a16:creationId xmlns:a16="http://schemas.microsoft.com/office/drawing/2014/main" id="{9D8AE688-7708-4B50-86F1-ABC358AC7B7F}"/>
              </a:ext>
            </a:extLst>
          </xdr:cNvPr>
          <xdr:cNvSpPr txBox="1"/>
        </xdr:nvSpPr>
        <xdr:spPr>
          <a:xfrm>
            <a:off x="62712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677461-CF9E-4721-9F30-AFBF56BDF63A}" type="TxLink">
              <a:rPr lang="en-US" sz="1400" b="1" i="0" u="none" strike="noStrike">
                <a:solidFill>
                  <a:srgbClr val="000000"/>
                </a:solidFill>
                <a:latin typeface="Calibri"/>
                <a:ea typeface="Calibri"/>
                <a:cs typeface="Calibri"/>
              </a:rPr>
              <a:pPr algn="ctr"/>
              <a:t>1975</a:t>
            </a:fld>
            <a:endParaRPr lang="en-US" sz="8000" b="1"/>
          </a:p>
        </xdr:txBody>
      </xdr:sp>
    </xdr:grpSp>
    <xdr:clientData/>
  </xdr:twoCellAnchor>
  <xdr:twoCellAnchor>
    <xdr:from>
      <xdr:col>12</xdr:col>
      <xdr:colOff>198120</xdr:colOff>
      <xdr:row>3</xdr:row>
      <xdr:rowOff>91440</xdr:rowOff>
    </xdr:from>
    <xdr:to>
      <xdr:col>13</xdr:col>
      <xdr:colOff>1127760</xdr:colOff>
      <xdr:row>7</xdr:row>
      <xdr:rowOff>144780</xdr:rowOff>
    </xdr:to>
    <xdr:grpSp>
      <xdr:nvGrpSpPr>
        <xdr:cNvPr id="21" name="Group 20">
          <a:extLst>
            <a:ext uri="{FF2B5EF4-FFF2-40B4-BE49-F238E27FC236}">
              <a16:creationId xmlns:a16="http://schemas.microsoft.com/office/drawing/2014/main" id="{A5885A89-E5D0-4A28-AE67-ACAE85000E1D}"/>
            </a:ext>
          </a:extLst>
        </xdr:cNvPr>
        <xdr:cNvGrpSpPr/>
      </xdr:nvGrpSpPr>
      <xdr:grpSpPr>
        <a:xfrm>
          <a:off x="7940040" y="525780"/>
          <a:ext cx="1912620" cy="784860"/>
          <a:chOff x="7802880" y="723900"/>
          <a:chExt cx="1821180" cy="1043940"/>
        </a:xfrm>
      </xdr:grpSpPr>
      <xdr:sp macro="" textlink="">
        <xdr:nvSpPr>
          <xdr:cNvPr id="22" name="Rectangle: Rounded Corners 21">
            <a:extLst>
              <a:ext uri="{FF2B5EF4-FFF2-40B4-BE49-F238E27FC236}">
                <a16:creationId xmlns:a16="http://schemas.microsoft.com/office/drawing/2014/main" id="{0401328D-3F19-4B33-A8F8-92C7098972F2}"/>
              </a:ext>
            </a:extLst>
          </xdr:cNvPr>
          <xdr:cNvSpPr/>
        </xdr:nvSpPr>
        <xdr:spPr>
          <a:xfrm>
            <a:off x="7802880" y="72390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Measures-3rd Page'!D1">
        <xdr:nvSpPr>
          <xdr:cNvPr id="23" name="TextBox 22">
            <a:extLst>
              <a:ext uri="{FF2B5EF4-FFF2-40B4-BE49-F238E27FC236}">
                <a16:creationId xmlns:a16="http://schemas.microsoft.com/office/drawing/2014/main" id="{F88AF453-1C6B-4CFE-92BB-DE5A415752B2}"/>
              </a:ext>
            </a:extLst>
          </xdr:cNvPr>
          <xdr:cNvSpPr txBox="1"/>
        </xdr:nvSpPr>
        <xdr:spPr>
          <a:xfrm>
            <a:off x="8188947" y="786066"/>
            <a:ext cx="1000153"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CAE1D23-385B-4873-95F1-A5C65700C801}" type="TxLink">
              <a:rPr lang="en-US" sz="1200" b="1" i="0" u="none" strike="noStrike">
                <a:solidFill>
                  <a:srgbClr val="000000"/>
                </a:solidFill>
                <a:latin typeface="Calibri"/>
                <a:ea typeface="Calibri"/>
                <a:cs typeface="Calibri"/>
              </a:rPr>
              <a:pPr algn="ctr"/>
              <a:t>Worst Year %</a:t>
            </a:fld>
            <a:endParaRPr lang="en-US" sz="2000" b="1"/>
          </a:p>
        </xdr:txBody>
      </xdr:sp>
      <xdr:sp macro="" textlink="'Measures-3rd Page'!D2">
        <xdr:nvSpPr>
          <xdr:cNvPr id="24" name="TextBox 23">
            <a:extLst>
              <a:ext uri="{FF2B5EF4-FFF2-40B4-BE49-F238E27FC236}">
                <a16:creationId xmlns:a16="http://schemas.microsoft.com/office/drawing/2014/main" id="{D59F7C03-DB02-48AD-9DA1-ADFB2FF04B5E}"/>
              </a:ext>
            </a:extLst>
          </xdr:cNvPr>
          <xdr:cNvSpPr txBox="1"/>
        </xdr:nvSpPr>
        <xdr:spPr>
          <a:xfrm>
            <a:off x="8214360"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E6D4B3-F16D-4082-9F54-2DE3AB29C96E}" type="TxLink">
              <a:rPr lang="en-US" sz="1400" b="1" i="0" u="none" strike="noStrike">
                <a:solidFill>
                  <a:srgbClr val="000000"/>
                </a:solidFill>
                <a:latin typeface="Calibri"/>
                <a:ea typeface="Calibri"/>
                <a:cs typeface="Calibri"/>
              </a:rPr>
              <a:pPr algn="ctr"/>
              <a:t>-35.76%</a:t>
            </a:fld>
            <a:endParaRPr lang="en-US" sz="11500" b="1"/>
          </a:p>
        </xdr:txBody>
      </xdr:sp>
    </xdr:grpSp>
    <xdr:clientData/>
  </xdr:twoCellAnchor>
  <xdr:twoCellAnchor>
    <xdr:from>
      <xdr:col>13</xdr:col>
      <xdr:colOff>1165861</xdr:colOff>
      <xdr:row>3</xdr:row>
      <xdr:rowOff>83820</xdr:rowOff>
    </xdr:from>
    <xdr:to>
      <xdr:col>15</xdr:col>
      <xdr:colOff>518160</xdr:colOff>
      <xdr:row>7</xdr:row>
      <xdr:rowOff>137160</xdr:rowOff>
    </xdr:to>
    <xdr:grpSp>
      <xdr:nvGrpSpPr>
        <xdr:cNvPr id="33" name="Group 32">
          <a:extLst>
            <a:ext uri="{FF2B5EF4-FFF2-40B4-BE49-F238E27FC236}">
              <a16:creationId xmlns:a16="http://schemas.microsoft.com/office/drawing/2014/main" id="{2BE857FC-7571-4006-BDE3-D832A790DFD1}"/>
            </a:ext>
          </a:extLst>
        </xdr:cNvPr>
        <xdr:cNvGrpSpPr/>
      </xdr:nvGrpSpPr>
      <xdr:grpSpPr>
        <a:xfrm>
          <a:off x="9890761" y="518160"/>
          <a:ext cx="1722119" cy="784860"/>
          <a:chOff x="5800202" y="739140"/>
          <a:chExt cx="1857898" cy="1043940"/>
        </a:xfrm>
      </xdr:grpSpPr>
      <xdr:sp macro="" textlink="">
        <xdr:nvSpPr>
          <xdr:cNvPr id="34" name="Rectangle: Rounded Corners 33">
            <a:extLst>
              <a:ext uri="{FF2B5EF4-FFF2-40B4-BE49-F238E27FC236}">
                <a16:creationId xmlns:a16="http://schemas.microsoft.com/office/drawing/2014/main" id="{426AAA32-1B48-4F8B-B503-EC716018A0E6}"/>
              </a:ext>
            </a:extLst>
          </xdr:cNvPr>
          <xdr:cNvSpPr/>
        </xdr:nvSpPr>
        <xdr:spPr>
          <a:xfrm>
            <a:off x="5836920" y="73914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treak Calculations-3rd Page'!J1">
        <xdr:nvSpPr>
          <xdr:cNvPr id="35" name="TextBox 34">
            <a:extLst>
              <a:ext uri="{FF2B5EF4-FFF2-40B4-BE49-F238E27FC236}">
                <a16:creationId xmlns:a16="http://schemas.microsoft.com/office/drawing/2014/main" id="{C6E3CBA5-C668-43D6-8659-C3865863E97F}"/>
              </a:ext>
            </a:extLst>
          </xdr:cNvPr>
          <xdr:cNvSpPr txBox="1"/>
        </xdr:nvSpPr>
        <xdr:spPr>
          <a:xfrm>
            <a:off x="5859164" y="786067"/>
            <a:ext cx="1773525"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A8B874B-54EC-4ABD-A712-B6CEDD5877A3}" type="TxLink">
              <a:rPr lang="en-US" sz="1200" b="1" i="0" u="none" strike="noStrike">
                <a:solidFill>
                  <a:srgbClr val="000000"/>
                </a:solidFill>
                <a:latin typeface="Calibri"/>
                <a:ea typeface="Calibri"/>
                <a:cs typeface="Calibri"/>
              </a:rPr>
              <a:pPr algn="ctr"/>
              <a:t>Longest Growth Streak</a:t>
            </a:fld>
            <a:endParaRPr lang="en-US" sz="2000" b="1"/>
          </a:p>
        </xdr:txBody>
      </xdr:sp>
      <xdr:sp macro="" textlink="'Streak Calculations-3rd Page'!J16">
        <xdr:nvSpPr>
          <xdr:cNvPr id="36" name="TextBox 35">
            <a:extLst>
              <a:ext uri="{FF2B5EF4-FFF2-40B4-BE49-F238E27FC236}">
                <a16:creationId xmlns:a16="http://schemas.microsoft.com/office/drawing/2014/main" id="{268B5F9F-D651-40CC-A174-ADFF5732FB36}"/>
              </a:ext>
            </a:extLst>
          </xdr:cNvPr>
          <xdr:cNvSpPr txBox="1"/>
        </xdr:nvSpPr>
        <xdr:spPr>
          <a:xfrm>
            <a:off x="6696104"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94F69A-C7A6-41B4-B681-30120C6D91C6}" type="TxLink">
              <a:rPr lang="en-US" sz="1400" b="1" i="0" u="none" strike="noStrike">
                <a:solidFill>
                  <a:srgbClr val="000000"/>
                </a:solidFill>
                <a:latin typeface="Calibri"/>
                <a:ea typeface="Calibri"/>
                <a:cs typeface="Calibri"/>
              </a:rPr>
              <a:pPr algn="ctr"/>
              <a:t>6</a:t>
            </a:fld>
            <a:r>
              <a:rPr lang="en-US" sz="1400" b="1" i="0" u="none" strike="noStrike">
                <a:solidFill>
                  <a:srgbClr val="000000"/>
                </a:solidFill>
                <a:latin typeface="Calibri"/>
                <a:ea typeface="Calibri"/>
                <a:cs typeface="Calibri"/>
              </a:rPr>
              <a:t> Years</a:t>
            </a:r>
            <a:endParaRPr lang="en-US" sz="9600" b="1"/>
          </a:p>
        </xdr:txBody>
      </xdr:sp>
      <xdr:sp macro="" textlink="'Streak Calculations-3rd Page'!I16">
        <xdr:nvSpPr>
          <xdr:cNvPr id="43" name="TextBox 42">
            <a:extLst>
              <a:ext uri="{FF2B5EF4-FFF2-40B4-BE49-F238E27FC236}">
                <a16:creationId xmlns:a16="http://schemas.microsoft.com/office/drawing/2014/main" id="{D7BFFDA2-A6A0-44F6-9589-4694D449553F}"/>
              </a:ext>
            </a:extLst>
          </xdr:cNvPr>
          <xdr:cNvSpPr txBox="1"/>
        </xdr:nvSpPr>
        <xdr:spPr>
          <a:xfrm>
            <a:off x="5800202"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2458F2-188D-4774-A600-D36B08821136}" type="TxLink">
              <a:rPr lang="en-US" sz="1400" b="1" i="0" u="none" strike="noStrike">
                <a:solidFill>
                  <a:srgbClr val="000000"/>
                </a:solidFill>
                <a:latin typeface="Calibri"/>
                <a:ea typeface="Calibri"/>
                <a:cs typeface="Calibri"/>
              </a:rPr>
              <a:pPr algn="ctr"/>
              <a:t>Oats</a:t>
            </a:fld>
            <a:endParaRPr lang="en-US" sz="9600" b="1"/>
          </a:p>
        </xdr:txBody>
      </xdr:sp>
    </xdr:grpSp>
    <xdr:clientData/>
  </xdr:twoCellAnchor>
  <xdr:twoCellAnchor>
    <xdr:from>
      <xdr:col>15</xdr:col>
      <xdr:colOff>563881</xdr:colOff>
      <xdr:row>3</xdr:row>
      <xdr:rowOff>76200</xdr:rowOff>
    </xdr:from>
    <xdr:to>
      <xdr:col>16</xdr:col>
      <xdr:colOff>1455420</xdr:colOff>
      <xdr:row>7</xdr:row>
      <xdr:rowOff>129540</xdr:rowOff>
    </xdr:to>
    <xdr:grpSp>
      <xdr:nvGrpSpPr>
        <xdr:cNvPr id="48" name="Group 47">
          <a:extLst>
            <a:ext uri="{FF2B5EF4-FFF2-40B4-BE49-F238E27FC236}">
              <a16:creationId xmlns:a16="http://schemas.microsoft.com/office/drawing/2014/main" id="{FAC10FEB-1729-41B1-8C71-1AE20C3A4E14}"/>
            </a:ext>
          </a:extLst>
        </xdr:cNvPr>
        <xdr:cNvGrpSpPr/>
      </xdr:nvGrpSpPr>
      <xdr:grpSpPr>
        <a:xfrm>
          <a:off x="11658601" y="510540"/>
          <a:ext cx="1874519" cy="784860"/>
          <a:chOff x="5800202" y="739140"/>
          <a:chExt cx="1857898" cy="1043940"/>
        </a:xfrm>
      </xdr:grpSpPr>
      <xdr:sp macro="" textlink="">
        <xdr:nvSpPr>
          <xdr:cNvPr id="49" name="Rectangle: Rounded Corners 48">
            <a:extLst>
              <a:ext uri="{FF2B5EF4-FFF2-40B4-BE49-F238E27FC236}">
                <a16:creationId xmlns:a16="http://schemas.microsoft.com/office/drawing/2014/main" id="{136A53C6-3F36-43AA-BFDC-5ED85546D2BA}"/>
              </a:ext>
            </a:extLst>
          </xdr:cNvPr>
          <xdr:cNvSpPr/>
        </xdr:nvSpPr>
        <xdr:spPr>
          <a:xfrm>
            <a:off x="5836920" y="73914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treak Calculations-3rd Page'!K1">
        <xdr:nvSpPr>
          <xdr:cNvPr id="50" name="TextBox 49">
            <a:extLst>
              <a:ext uri="{FF2B5EF4-FFF2-40B4-BE49-F238E27FC236}">
                <a16:creationId xmlns:a16="http://schemas.microsoft.com/office/drawing/2014/main" id="{3046460E-B5E4-4B28-B4A2-9F68538A3BB9}"/>
              </a:ext>
            </a:extLst>
          </xdr:cNvPr>
          <xdr:cNvSpPr txBox="1"/>
        </xdr:nvSpPr>
        <xdr:spPr>
          <a:xfrm>
            <a:off x="5916787" y="786067"/>
            <a:ext cx="1658278"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56B37E49-CE0F-45B7-8CE8-743CDA5A451A}" type="TxLink">
              <a:rPr lang="en-US" sz="1200" b="1" i="0" u="none" strike="noStrike">
                <a:solidFill>
                  <a:srgbClr val="000000"/>
                </a:solidFill>
                <a:latin typeface="Calibri"/>
                <a:ea typeface="Calibri"/>
                <a:cs typeface="Calibri"/>
              </a:rPr>
              <a:pPr algn="ctr"/>
              <a:t>Longest Decline Streak</a:t>
            </a:fld>
            <a:endParaRPr lang="en-US" sz="2000" b="1"/>
          </a:p>
        </xdr:txBody>
      </xdr:sp>
      <xdr:sp macro="" textlink="'Streak Calculations-3rd Page'!J17">
        <xdr:nvSpPr>
          <xdr:cNvPr id="51" name="TextBox 50">
            <a:extLst>
              <a:ext uri="{FF2B5EF4-FFF2-40B4-BE49-F238E27FC236}">
                <a16:creationId xmlns:a16="http://schemas.microsoft.com/office/drawing/2014/main" id="{FC7B0684-ED0D-4BFD-912F-E5734F6BE305}"/>
              </a:ext>
            </a:extLst>
          </xdr:cNvPr>
          <xdr:cNvSpPr txBox="1"/>
        </xdr:nvSpPr>
        <xdr:spPr>
          <a:xfrm>
            <a:off x="6696104"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BC6CC5-C331-4653-856D-5C3D6F32259C}" type="TxLink">
              <a:rPr lang="en-US" sz="1400" b="1" i="0" u="none" strike="noStrike">
                <a:solidFill>
                  <a:srgbClr val="000000"/>
                </a:solidFill>
                <a:latin typeface="Calibri"/>
                <a:ea typeface="Calibri"/>
                <a:cs typeface="Calibri"/>
              </a:rPr>
              <a:pPr algn="ctr"/>
              <a:t>5</a:t>
            </a:fld>
            <a:r>
              <a:rPr lang="en-US" sz="1400" b="1" i="0" u="none" strike="noStrike">
                <a:solidFill>
                  <a:srgbClr val="000000"/>
                </a:solidFill>
                <a:latin typeface="Calibri"/>
                <a:ea typeface="Calibri"/>
                <a:cs typeface="Calibri"/>
              </a:rPr>
              <a:t> Years</a:t>
            </a:r>
            <a:endParaRPr lang="en-US" sz="9600" b="1"/>
          </a:p>
        </xdr:txBody>
      </xdr:sp>
      <xdr:sp macro="" textlink="'Streak Calculations-3rd Page'!I17">
        <xdr:nvSpPr>
          <xdr:cNvPr id="52" name="TextBox 51">
            <a:extLst>
              <a:ext uri="{FF2B5EF4-FFF2-40B4-BE49-F238E27FC236}">
                <a16:creationId xmlns:a16="http://schemas.microsoft.com/office/drawing/2014/main" id="{58C0FAAC-6917-42EE-96A6-DC258B6B23F9}"/>
              </a:ext>
            </a:extLst>
          </xdr:cNvPr>
          <xdr:cNvSpPr txBox="1"/>
        </xdr:nvSpPr>
        <xdr:spPr>
          <a:xfrm>
            <a:off x="5800202" y="1165860"/>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563300-ADA6-4C32-8101-1EA2BFD43DDD}" type="TxLink">
              <a:rPr lang="en-US" sz="1400" b="1" i="0" u="none" strike="noStrike">
                <a:solidFill>
                  <a:srgbClr val="000000"/>
                </a:solidFill>
                <a:latin typeface="Calibri"/>
                <a:ea typeface="Calibri"/>
                <a:cs typeface="Calibri"/>
              </a:rPr>
              <a:pPr algn="ctr"/>
              <a:t>Cotton</a:t>
            </a:fld>
            <a:endParaRPr lang="en-US" sz="9600" b="1"/>
          </a:p>
        </xdr:txBody>
      </xdr:sp>
    </xdr:grpSp>
    <xdr:clientData/>
  </xdr:twoCellAnchor>
  <xdr:twoCellAnchor>
    <xdr:from>
      <xdr:col>10</xdr:col>
      <xdr:colOff>586740</xdr:colOff>
      <xdr:row>8</xdr:row>
      <xdr:rowOff>30481</xdr:rowOff>
    </xdr:from>
    <xdr:to>
      <xdr:col>15</xdr:col>
      <xdr:colOff>533400</xdr:colOff>
      <xdr:row>18</xdr:row>
      <xdr:rowOff>7620</xdr:rowOff>
    </xdr:to>
    <xdr:graphicFrame macro="">
      <xdr:nvGraphicFramePr>
        <xdr:cNvPr id="54" name="Chart 53">
          <a:extLst>
            <a:ext uri="{FF2B5EF4-FFF2-40B4-BE49-F238E27FC236}">
              <a16:creationId xmlns:a16="http://schemas.microsoft.com/office/drawing/2014/main" id="{FF2AC402-987E-48A1-B944-06DFAF5AF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594360</xdr:colOff>
      <xdr:row>18</xdr:row>
      <xdr:rowOff>68580</xdr:rowOff>
    </xdr:from>
    <xdr:to>
      <xdr:col>15</xdr:col>
      <xdr:colOff>533400</xdr:colOff>
      <xdr:row>26</xdr:row>
      <xdr:rowOff>167640</xdr:rowOff>
    </xdr:to>
    <xdr:graphicFrame macro="">
      <xdr:nvGraphicFramePr>
        <xdr:cNvPr id="56" name="Chart 55">
          <a:extLst>
            <a:ext uri="{FF2B5EF4-FFF2-40B4-BE49-F238E27FC236}">
              <a16:creationId xmlns:a16="http://schemas.microsoft.com/office/drawing/2014/main" id="{94ECFCFF-76E4-4B88-AFF7-920F1C8C2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647700</xdr:colOff>
      <xdr:row>8</xdr:row>
      <xdr:rowOff>53340</xdr:rowOff>
    </xdr:from>
    <xdr:to>
      <xdr:col>16</xdr:col>
      <xdr:colOff>1463040</xdr:colOff>
      <xdr:row>26</xdr:row>
      <xdr:rowOff>152399</xdr:rowOff>
    </xdr:to>
    <mc:AlternateContent xmlns:mc="http://schemas.openxmlformats.org/markup-compatibility/2006" xmlns:a14="http://schemas.microsoft.com/office/drawing/2010/main">
      <mc:Choice Requires="a14">
        <xdr:graphicFrame macro="">
          <xdr:nvGraphicFramePr>
            <xdr:cNvPr id="59" name="Commodities 3">
              <a:extLst>
                <a:ext uri="{FF2B5EF4-FFF2-40B4-BE49-F238E27FC236}">
                  <a16:creationId xmlns:a16="http://schemas.microsoft.com/office/drawing/2014/main" id="{59F34AD4-E5DA-4268-B170-AA9AAFBC29C1}"/>
                </a:ext>
              </a:extLst>
            </xdr:cNvPr>
            <xdr:cNvGraphicFramePr/>
          </xdr:nvGraphicFramePr>
          <xdr:xfrm>
            <a:off x="0" y="0"/>
            <a:ext cx="0" cy="0"/>
          </xdr:xfrm>
          <a:graphic>
            <a:graphicData uri="http://schemas.microsoft.com/office/drawing/2010/slicer">
              <sle:slicer xmlns:sle="http://schemas.microsoft.com/office/drawing/2010/slicer" name="Commodities 3"/>
            </a:graphicData>
          </a:graphic>
        </xdr:graphicFrame>
      </mc:Choice>
      <mc:Fallback xmlns="">
        <xdr:sp macro="" textlink="">
          <xdr:nvSpPr>
            <xdr:cNvPr id="0" name=""/>
            <xdr:cNvSpPr>
              <a:spLocks noTextEdit="1"/>
            </xdr:cNvSpPr>
          </xdr:nvSpPr>
          <xdr:spPr>
            <a:xfrm>
              <a:off x="11689080" y="1516381"/>
              <a:ext cx="1798320" cy="3055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8</xdr:row>
      <xdr:rowOff>15240</xdr:rowOff>
    </xdr:from>
    <xdr:to>
      <xdr:col>10</xdr:col>
      <xdr:colOff>533400</xdr:colOff>
      <xdr:row>27</xdr:row>
      <xdr:rowOff>0</xdr:rowOff>
    </xdr:to>
    <xdr:graphicFrame macro="">
      <xdr:nvGraphicFramePr>
        <xdr:cNvPr id="60" name="Chart 59">
          <a:extLst>
            <a:ext uri="{FF2B5EF4-FFF2-40B4-BE49-F238E27FC236}">
              <a16:creationId xmlns:a16="http://schemas.microsoft.com/office/drawing/2014/main" id="{B6D55D75-6529-4AD8-957B-82BF8ED0A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60960</xdr:colOff>
      <xdr:row>3</xdr:row>
      <xdr:rowOff>0</xdr:rowOff>
    </xdr:to>
    <xdr:sp macro="" textlink="">
      <xdr:nvSpPr>
        <xdr:cNvPr id="2" name="Rectangle 1">
          <a:extLst>
            <a:ext uri="{FF2B5EF4-FFF2-40B4-BE49-F238E27FC236}">
              <a16:creationId xmlns:a16="http://schemas.microsoft.com/office/drawing/2014/main" id="{D6049814-0074-4F9A-8175-A6A71ED0D341}"/>
            </a:ext>
          </a:extLst>
        </xdr:cNvPr>
        <xdr:cNvSpPr/>
      </xdr:nvSpPr>
      <xdr:spPr>
        <a:xfrm>
          <a:off x="0" y="0"/>
          <a:ext cx="13472160" cy="548640"/>
        </a:xfrm>
        <a:prstGeom prst="rect">
          <a:avLst/>
        </a:prstGeom>
        <a:solidFill>
          <a:schemeClr val="accent1">
            <a:lumMod val="5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latin typeface="Times New Roman" panose="02020603050405020304" pitchFamily="18" charset="0"/>
              <a:cs typeface="Times New Roman" panose="02020603050405020304" pitchFamily="18" charset="0"/>
            </a:rPr>
            <a:t>Commodity Market - Management Insights</a:t>
          </a:r>
        </a:p>
      </xdr:txBody>
    </xdr:sp>
    <xdr:clientData/>
  </xdr:twoCellAnchor>
  <xdr:twoCellAnchor>
    <xdr:from>
      <xdr:col>0</xdr:col>
      <xdr:colOff>0</xdr:colOff>
      <xdr:row>3</xdr:row>
      <xdr:rowOff>60960</xdr:rowOff>
    </xdr:from>
    <xdr:to>
      <xdr:col>4</xdr:col>
      <xdr:colOff>297180</xdr:colOff>
      <xdr:row>26</xdr:row>
      <xdr:rowOff>160020</xdr:rowOff>
    </xdr:to>
    <xdr:grpSp>
      <xdr:nvGrpSpPr>
        <xdr:cNvPr id="3" name="Group 2">
          <a:extLst>
            <a:ext uri="{FF2B5EF4-FFF2-40B4-BE49-F238E27FC236}">
              <a16:creationId xmlns:a16="http://schemas.microsoft.com/office/drawing/2014/main" id="{E67B953A-643B-4FEB-8C9E-2CF7A444929B}"/>
            </a:ext>
          </a:extLst>
        </xdr:cNvPr>
        <xdr:cNvGrpSpPr/>
      </xdr:nvGrpSpPr>
      <xdr:grpSpPr>
        <a:xfrm>
          <a:off x="0" y="541020"/>
          <a:ext cx="2735580" cy="4305300"/>
          <a:chOff x="0" y="678180"/>
          <a:chExt cx="2438400" cy="4572000"/>
        </a:xfrm>
      </xdr:grpSpPr>
      <xdr:sp macro="" textlink="">
        <xdr:nvSpPr>
          <xdr:cNvPr id="4" name="Rectangle: Rounded Corners 3">
            <a:extLst>
              <a:ext uri="{FF2B5EF4-FFF2-40B4-BE49-F238E27FC236}">
                <a16:creationId xmlns:a16="http://schemas.microsoft.com/office/drawing/2014/main" id="{A21E8947-DADC-40F1-B28D-F2AD4964DEB1}"/>
              </a:ext>
            </a:extLst>
          </xdr:cNvPr>
          <xdr:cNvSpPr/>
        </xdr:nvSpPr>
        <xdr:spPr>
          <a:xfrm>
            <a:off x="0" y="678180"/>
            <a:ext cx="1828800" cy="4572000"/>
          </a:xfrm>
          <a:prstGeom prst="roundRect">
            <a:avLst/>
          </a:prstGeom>
          <a:solidFill>
            <a:srgbClr val="203864"/>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200" b="1" u="sng">
              <a:latin typeface="Times New Roman" panose="02020603050405020304" pitchFamily="18" charset="0"/>
              <a:cs typeface="Times New Roman" panose="02020603050405020304" pitchFamily="18" charset="0"/>
            </a:endParaRPr>
          </a:p>
        </xdr:txBody>
      </xdr:sp>
      <xdr:sp macro="" textlink="">
        <xdr:nvSpPr>
          <xdr:cNvPr id="5" name="TextBox 4">
            <a:hlinkClick xmlns:r="http://schemas.openxmlformats.org/officeDocument/2006/relationships" r:id="rId1"/>
            <a:extLst>
              <a:ext uri="{FF2B5EF4-FFF2-40B4-BE49-F238E27FC236}">
                <a16:creationId xmlns:a16="http://schemas.microsoft.com/office/drawing/2014/main" id="{00CD8135-24F2-46EE-8E8D-3BA3CD8410F4}"/>
              </a:ext>
            </a:extLst>
          </xdr:cNvPr>
          <xdr:cNvSpPr txBox="1"/>
        </xdr:nvSpPr>
        <xdr:spPr>
          <a:xfrm>
            <a:off x="0" y="1097280"/>
            <a:ext cx="2438400"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Executive Overview</a:t>
            </a:r>
          </a:p>
        </xdr:txBody>
      </xdr:sp>
      <xdr:sp macro="" textlink="">
        <xdr:nvSpPr>
          <xdr:cNvPr id="6" name="TextBox 5">
            <a:hlinkClick xmlns:r="http://schemas.openxmlformats.org/officeDocument/2006/relationships" r:id="rId2"/>
            <a:extLst>
              <a:ext uri="{FF2B5EF4-FFF2-40B4-BE49-F238E27FC236}">
                <a16:creationId xmlns:a16="http://schemas.microsoft.com/office/drawing/2014/main" id="{4D318440-7CDB-4076-9D1A-3F1CF4DDA7C7}"/>
              </a:ext>
            </a:extLst>
          </xdr:cNvPr>
          <xdr:cNvSpPr txBox="1"/>
        </xdr:nvSpPr>
        <xdr:spPr>
          <a:xfrm>
            <a:off x="0" y="1463040"/>
            <a:ext cx="1828800"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Price Analysis</a:t>
            </a:r>
          </a:p>
        </xdr:txBody>
      </xdr:sp>
      <xdr:sp macro="" textlink="">
        <xdr:nvSpPr>
          <xdr:cNvPr id="7" name="TextBox 6">
            <a:hlinkClick xmlns:r="http://schemas.openxmlformats.org/officeDocument/2006/relationships" r:id="rId3"/>
            <a:extLst>
              <a:ext uri="{FF2B5EF4-FFF2-40B4-BE49-F238E27FC236}">
                <a16:creationId xmlns:a16="http://schemas.microsoft.com/office/drawing/2014/main" id="{24B8BD61-D478-44B7-A907-CFEE66901A7A}"/>
              </a:ext>
            </a:extLst>
          </xdr:cNvPr>
          <xdr:cNvSpPr txBox="1"/>
        </xdr:nvSpPr>
        <xdr:spPr>
          <a:xfrm>
            <a:off x="1" y="1851660"/>
            <a:ext cx="1799933" cy="3657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Trend &amp; Risk Analysis</a:t>
            </a:r>
          </a:p>
        </xdr:txBody>
      </xdr:sp>
      <xdr:sp macro="" textlink="">
        <xdr:nvSpPr>
          <xdr:cNvPr id="8" name="TextBox 7">
            <a:hlinkClick xmlns:r="http://schemas.openxmlformats.org/officeDocument/2006/relationships" r:id="rId4"/>
            <a:extLst>
              <a:ext uri="{FF2B5EF4-FFF2-40B4-BE49-F238E27FC236}">
                <a16:creationId xmlns:a16="http://schemas.microsoft.com/office/drawing/2014/main" id="{C72733ED-EE7B-44DD-847E-9035140FF4D9}"/>
              </a:ext>
            </a:extLst>
          </xdr:cNvPr>
          <xdr:cNvSpPr txBox="1"/>
        </xdr:nvSpPr>
        <xdr:spPr>
          <a:xfrm>
            <a:off x="0" y="2226255"/>
            <a:ext cx="1786349" cy="365760"/>
          </a:xfrm>
          <a:prstGeom prst="rect">
            <a:avLst/>
          </a:prstGeom>
          <a:solidFill>
            <a:schemeClr val="accent5">
              <a:lumMod val="5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u="sng">
                <a:solidFill>
                  <a:schemeClr val="bg1"/>
                </a:solidFill>
              </a:rPr>
              <a:t>Management Insighs</a:t>
            </a:r>
          </a:p>
        </xdr:txBody>
      </xdr:sp>
    </xdr:grpSp>
    <xdr:clientData/>
  </xdr:twoCellAnchor>
  <xdr:twoCellAnchor>
    <xdr:from>
      <xdr:col>3</xdr:col>
      <xdr:colOff>229271</xdr:colOff>
      <xdr:row>3</xdr:row>
      <xdr:rowOff>99060</xdr:rowOff>
    </xdr:from>
    <xdr:to>
      <xdr:col>6</xdr:col>
      <xdr:colOff>531441</xdr:colOff>
      <xdr:row>7</xdr:row>
      <xdr:rowOff>152400</xdr:rowOff>
    </xdr:to>
    <xdr:grpSp>
      <xdr:nvGrpSpPr>
        <xdr:cNvPr id="9" name="Group 8">
          <a:extLst>
            <a:ext uri="{FF2B5EF4-FFF2-40B4-BE49-F238E27FC236}">
              <a16:creationId xmlns:a16="http://schemas.microsoft.com/office/drawing/2014/main" id="{1CFB8612-8654-4BEB-A6CF-710A0EEE6E74}"/>
            </a:ext>
          </a:extLst>
        </xdr:cNvPr>
        <xdr:cNvGrpSpPr/>
      </xdr:nvGrpSpPr>
      <xdr:grpSpPr>
        <a:xfrm>
          <a:off x="2058071" y="579120"/>
          <a:ext cx="2130970" cy="784860"/>
          <a:chOff x="1833309" y="731520"/>
          <a:chExt cx="1839531" cy="1043940"/>
        </a:xfrm>
      </xdr:grpSpPr>
      <xdr:sp macro="" textlink="">
        <xdr:nvSpPr>
          <xdr:cNvPr id="10" name="Rectangle: Rounded Corners 9">
            <a:extLst>
              <a:ext uri="{FF2B5EF4-FFF2-40B4-BE49-F238E27FC236}">
                <a16:creationId xmlns:a16="http://schemas.microsoft.com/office/drawing/2014/main" id="{FF98EB6E-9C54-42F8-99BF-8BBE0FFA711D}"/>
              </a:ext>
            </a:extLst>
          </xdr:cNvPr>
          <xdr:cNvSpPr/>
        </xdr:nvSpPr>
        <xdr:spPr>
          <a:xfrm>
            <a:off x="185166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31972E9B-9688-4D26-9982-509826A88804}"/>
              </a:ext>
            </a:extLst>
          </xdr:cNvPr>
          <xdr:cNvSpPr txBox="1"/>
        </xdr:nvSpPr>
        <xdr:spPr>
          <a:xfrm>
            <a:off x="2328668" y="769093"/>
            <a:ext cx="955434"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t>Best Performer</a:t>
            </a:r>
          </a:p>
        </xdr:txBody>
      </xdr:sp>
      <xdr:sp macro="" textlink="Measures!$A$3">
        <xdr:nvSpPr>
          <xdr:cNvPr id="12" name="TextBox 11">
            <a:extLst>
              <a:ext uri="{FF2B5EF4-FFF2-40B4-BE49-F238E27FC236}">
                <a16:creationId xmlns:a16="http://schemas.microsoft.com/office/drawing/2014/main" id="{B14CCD3B-E485-4DBE-94DC-662F01F6CF09}"/>
              </a:ext>
            </a:extLst>
          </xdr:cNvPr>
          <xdr:cNvSpPr txBox="1"/>
        </xdr:nvSpPr>
        <xdr:spPr>
          <a:xfrm>
            <a:off x="1833309" y="1198855"/>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Sugar</a:t>
            </a:r>
            <a:endParaRPr lang="en-US" sz="4000" b="1"/>
          </a:p>
        </xdr:txBody>
      </xdr:sp>
      <xdr:sp macro="" textlink="Measures!$A$3">
        <xdr:nvSpPr>
          <xdr:cNvPr id="33" name="TextBox 32">
            <a:extLst>
              <a:ext uri="{FF2B5EF4-FFF2-40B4-BE49-F238E27FC236}">
                <a16:creationId xmlns:a16="http://schemas.microsoft.com/office/drawing/2014/main" id="{E1236E05-FFEA-40DD-A45F-719DE4A069D4}"/>
              </a:ext>
            </a:extLst>
          </xdr:cNvPr>
          <xdr:cNvSpPr txBox="1"/>
        </xdr:nvSpPr>
        <xdr:spPr>
          <a:xfrm>
            <a:off x="2677732" y="1198855"/>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14%</a:t>
            </a:r>
            <a:endParaRPr lang="en-US" sz="4000" b="1"/>
          </a:p>
        </xdr:txBody>
      </xdr:sp>
    </xdr:grpSp>
    <xdr:clientData/>
  </xdr:twoCellAnchor>
  <xdr:twoCellAnchor>
    <xdr:from>
      <xdr:col>7</xdr:col>
      <xdr:colOff>38100</xdr:colOff>
      <xdr:row>3</xdr:row>
      <xdr:rowOff>99060</xdr:rowOff>
    </xdr:from>
    <xdr:to>
      <xdr:col>10</xdr:col>
      <xdr:colOff>456173</xdr:colOff>
      <xdr:row>7</xdr:row>
      <xdr:rowOff>152400</xdr:rowOff>
    </xdr:to>
    <xdr:grpSp>
      <xdr:nvGrpSpPr>
        <xdr:cNvPr id="76" name="Group 75">
          <a:extLst>
            <a:ext uri="{FF2B5EF4-FFF2-40B4-BE49-F238E27FC236}">
              <a16:creationId xmlns:a16="http://schemas.microsoft.com/office/drawing/2014/main" id="{3B6B7D8B-8BBB-48EF-8575-8C3E69B69A7B}"/>
            </a:ext>
          </a:extLst>
        </xdr:cNvPr>
        <xdr:cNvGrpSpPr/>
      </xdr:nvGrpSpPr>
      <xdr:grpSpPr>
        <a:xfrm>
          <a:off x="4305300" y="579120"/>
          <a:ext cx="2246873" cy="784860"/>
          <a:chOff x="4503420" y="647700"/>
          <a:chExt cx="2109713" cy="784860"/>
        </a:xfrm>
      </xdr:grpSpPr>
      <xdr:sp macro="" textlink="">
        <xdr:nvSpPr>
          <xdr:cNvPr id="30" name="Rectangle: Rounded Corners 29">
            <a:extLst>
              <a:ext uri="{FF2B5EF4-FFF2-40B4-BE49-F238E27FC236}">
                <a16:creationId xmlns:a16="http://schemas.microsoft.com/office/drawing/2014/main" id="{39252F07-49CA-4E90-91DB-F7753794A6F1}"/>
              </a:ext>
            </a:extLst>
          </xdr:cNvPr>
          <xdr:cNvSpPr/>
        </xdr:nvSpPr>
        <xdr:spPr>
          <a:xfrm>
            <a:off x="4503420" y="647700"/>
            <a:ext cx="2109713" cy="784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EFB1A330-28DE-4098-AEB4-F9369FCA2C19}"/>
              </a:ext>
            </a:extLst>
          </xdr:cNvPr>
          <xdr:cNvSpPr txBox="1"/>
        </xdr:nvSpPr>
        <xdr:spPr>
          <a:xfrm>
            <a:off x="5148762" y="675948"/>
            <a:ext cx="92129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b="1"/>
              <a:t>Highest</a:t>
            </a:r>
            <a:r>
              <a:rPr lang="en-US" sz="1200" b="1" baseline="0"/>
              <a:t> Risk</a:t>
            </a:r>
            <a:endParaRPr lang="en-US" sz="1200" b="1"/>
          </a:p>
        </xdr:txBody>
      </xdr:sp>
      <xdr:sp macro="" textlink="Measures!$A$3">
        <xdr:nvSpPr>
          <xdr:cNvPr id="32" name="TextBox 31">
            <a:extLst>
              <a:ext uri="{FF2B5EF4-FFF2-40B4-BE49-F238E27FC236}">
                <a16:creationId xmlns:a16="http://schemas.microsoft.com/office/drawing/2014/main" id="{2148F1D1-2CCB-459C-9B27-ED08A22D1577}"/>
              </a:ext>
            </a:extLst>
          </xdr:cNvPr>
          <xdr:cNvSpPr txBox="1"/>
        </xdr:nvSpPr>
        <xdr:spPr>
          <a:xfrm>
            <a:off x="4606262" y="976194"/>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Sugar</a:t>
            </a:r>
            <a:endParaRPr lang="en-US" sz="4000" b="1"/>
          </a:p>
        </xdr:txBody>
      </xdr:sp>
      <xdr:sp macro="" textlink="Measures!$A$3">
        <xdr:nvSpPr>
          <xdr:cNvPr id="38" name="TextBox 37">
            <a:extLst>
              <a:ext uri="{FF2B5EF4-FFF2-40B4-BE49-F238E27FC236}">
                <a16:creationId xmlns:a16="http://schemas.microsoft.com/office/drawing/2014/main" id="{2F2F89D5-3ED5-44CE-A236-382F39BF20AE}"/>
              </a:ext>
            </a:extLst>
          </xdr:cNvPr>
          <xdr:cNvSpPr txBox="1"/>
        </xdr:nvSpPr>
        <xdr:spPr>
          <a:xfrm>
            <a:off x="5482268" y="976194"/>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62.8%</a:t>
            </a:r>
            <a:endParaRPr lang="en-US" sz="4000" b="1"/>
          </a:p>
        </xdr:txBody>
      </xdr:sp>
    </xdr:grpSp>
    <xdr:clientData/>
  </xdr:twoCellAnchor>
  <xdr:twoCellAnchor>
    <xdr:from>
      <xdr:col>11</xdr:col>
      <xdr:colOff>61473</xdr:colOff>
      <xdr:row>3</xdr:row>
      <xdr:rowOff>99060</xdr:rowOff>
    </xdr:from>
    <xdr:to>
      <xdr:col>14</xdr:col>
      <xdr:colOff>342386</xdr:colOff>
      <xdr:row>7</xdr:row>
      <xdr:rowOff>152400</xdr:rowOff>
    </xdr:to>
    <xdr:grpSp>
      <xdr:nvGrpSpPr>
        <xdr:cNvPr id="75" name="Group 74">
          <a:extLst>
            <a:ext uri="{FF2B5EF4-FFF2-40B4-BE49-F238E27FC236}">
              <a16:creationId xmlns:a16="http://schemas.microsoft.com/office/drawing/2014/main" id="{69AA6D4D-0557-4E44-A7BF-9FEF573A9CD2}"/>
            </a:ext>
          </a:extLst>
        </xdr:cNvPr>
        <xdr:cNvGrpSpPr/>
      </xdr:nvGrpSpPr>
      <xdr:grpSpPr>
        <a:xfrm>
          <a:off x="6767073" y="579120"/>
          <a:ext cx="2109713" cy="784860"/>
          <a:chOff x="6751833" y="647700"/>
          <a:chExt cx="2109713" cy="784860"/>
        </a:xfrm>
      </xdr:grpSpPr>
      <xdr:sp macro="" textlink="">
        <xdr:nvSpPr>
          <xdr:cNvPr id="50" name="Rectangle: Rounded Corners 49">
            <a:extLst>
              <a:ext uri="{FF2B5EF4-FFF2-40B4-BE49-F238E27FC236}">
                <a16:creationId xmlns:a16="http://schemas.microsoft.com/office/drawing/2014/main" id="{5CDEA98F-9027-4B9D-8CFD-978209FE174D}"/>
              </a:ext>
            </a:extLst>
          </xdr:cNvPr>
          <xdr:cNvSpPr/>
        </xdr:nvSpPr>
        <xdr:spPr>
          <a:xfrm>
            <a:off x="6751833" y="647700"/>
            <a:ext cx="2109713" cy="784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F2AA188F-10FA-40E9-970F-8417E8E9C3A0}"/>
              </a:ext>
            </a:extLst>
          </xdr:cNvPr>
          <xdr:cNvSpPr txBox="1"/>
        </xdr:nvSpPr>
        <xdr:spPr>
          <a:xfrm>
            <a:off x="7227114" y="675948"/>
            <a:ext cx="126141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b="1"/>
              <a:t>Strongest</a:t>
            </a:r>
            <a:r>
              <a:rPr lang="en-US" sz="1200" b="1" baseline="0"/>
              <a:t> Growth</a:t>
            </a:r>
            <a:endParaRPr lang="en-US" sz="1200" b="1"/>
          </a:p>
        </xdr:txBody>
      </xdr:sp>
      <xdr:sp macro="" textlink="Measures!$A$3">
        <xdr:nvSpPr>
          <xdr:cNvPr id="52" name="TextBox 51">
            <a:extLst>
              <a:ext uri="{FF2B5EF4-FFF2-40B4-BE49-F238E27FC236}">
                <a16:creationId xmlns:a16="http://schemas.microsoft.com/office/drawing/2014/main" id="{2797C57F-14AF-4166-83F7-12ECDAC5F9F0}"/>
              </a:ext>
            </a:extLst>
          </xdr:cNvPr>
          <xdr:cNvSpPr txBox="1"/>
        </xdr:nvSpPr>
        <xdr:spPr>
          <a:xfrm>
            <a:off x="6854673" y="976194"/>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Sugar</a:t>
            </a:r>
            <a:endParaRPr lang="en-US" sz="4000" b="1"/>
          </a:p>
        </xdr:txBody>
      </xdr:sp>
      <xdr:sp macro="" textlink="Measures!$A$3">
        <xdr:nvSpPr>
          <xdr:cNvPr id="53" name="TextBox 52">
            <a:extLst>
              <a:ext uri="{FF2B5EF4-FFF2-40B4-BE49-F238E27FC236}">
                <a16:creationId xmlns:a16="http://schemas.microsoft.com/office/drawing/2014/main" id="{4A2E2D45-0C6C-49DC-8752-6E93BAA9F7BB}"/>
              </a:ext>
            </a:extLst>
          </xdr:cNvPr>
          <xdr:cNvSpPr txBox="1"/>
        </xdr:nvSpPr>
        <xdr:spPr>
          <a:xfrm>
            <a:off x="7730679" y="976194"/>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282.8%</a:t>
            </a:r>
            <a:endParaRPr lang="en-US" sz="4000" b="1"/>
          </a:p>
        </xdr:txBody>
      </xdr:sp>
    </xdr:grpSp>
    <xdr:clientData/>
  </xdr:twoCellAnchor>
  <xdr:twoCellAnchor>
    <xdr:from>
      <xdr:col>14</xdr:col>
      <xdr:colOff>519184</xdr:colOff>
      <xdr:row>3</xdr:row>
      <xdr:rowOff>99058</xdr:rowOff>
    </xdr:from>
    <xdr:to>
      <xdr:col>18</xdr:col>
      <xdr:colOff>190496</xdr:colOff>
      <xdr:row>7</xdr:row>
      <xdr:rowOff>152398</xdr:rowOff>
    </xdr:to>
    <xdr:grpSp>
      <xdr:nvGrpSpPr>
        <xdr:cNvPr id="74" name="Group 73">
          <a:extLst>
            <a:ext uri="{FF2B5EF4-FFF2-40B4-BE49-F238E27FC236}">
              <a16:creationId xmlns:a16="http://schemas.microsoft.com/office/drawing/2014/main" id="{12C53ABC-150C-4AEC-984C-71B7A52A0D3D}"/>
            </a:ext>
          </a:extLst>
        </xdr:cNvPr>
        <xdr:cNvGrpSpPr/>
      </xdr:nvGrpSpPr>
      <xdr:grpSpPr>
        <a:xfrm>
          <a:off x="9053584" y="579118"/>
          <a:ext cx="2109712" cy="784860"/>
          <a:chOff x="9038344" y="647698"/>
          <a:chExt cx="2109712" cy="784860"/>
        </a:xfrm>
      </xdr:grpSpPr>
      <xdr:sp macro="" textlink="">
        <xdr:nvSpPr>
          <xdr:cNvPr id="54" name="Rectangle: Rounded Corners 53">
            <a:extLst>
              <a:ext uri="{FF2B5EF4-FFF2-40B4-BE49-F238E27FC236}">
                <a16:creationId xmlns:a16="http://schemas.microsoft.com/office/drawing/2014/main" id="{E0A7EF1A-BAD5-4628-B8A3-08C594DF7575}"/>
              </a:ext>
            </a:extLst>
          </xdr:cNvPr>
          <xdr:cNvSpPr/>
        </xdr:nvSpPr>
        <xdr:spPr>
          <a:xfrm>
            <a:off x="9038344" y="647698"/>
            <a:ext cx="2109712" cy="7848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CE88E162-56E4-42EA-A4BE-6498885A9353}"/>
              </a:ext>
            </a:extLst>
          </xdr:cNvPr>
          <xdr:cNvSpPr txBox="1"/>
        </xdr:nvSpPr>
        <xdr:spPr>
          <a:xfrm>
            <a:off x="9560701" y="675946"/>
            <a:ext cx="110631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b="1"/>
              <a:t>Largest Decline</a:t>
            </a:r>
          </a:p>
        </xdr:txBody>
      </xdr:sp>
      <xdr:sp macro="" textlink="Measures!$A$3">
        <xdr:nvSpPr>
          <xdr:cNvPr id="56" name="TextBox 55">
            <a:extLst>
              <a:ext uri="{FF2B5EF4-FFF2-40B4-BE49-F238E27FC236}">
                <a16:creationId xmlns:a16="http://schemas.microsoft.com/office/drawing/2014/main" id="{79ACA64A-FE67-4E04-A944-BE7BDB75BE97}"/>
              </a:ext>
            </a:extLst>
          </xdr:cNvPr>
          <xdr:cNvSpPr txBox="1"/>
        </xdr:nvSpPr>
        <xdr:spPr>
          <a:xfrm>
            <a:off x="9110706" y="976193"/>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Sugar</a:t>
            </a:r>
            <a:endParaRPr lang="en-US" sz="4000" b="1"/>
          </a:p>
        </xdr:txBody>
      </xdr:sp>
      <xdr:sp macro="" textlink="Measures!$A$3">
        <xdr:nvSpPr>
          <xdr:cNvPr id="57" name="TextBox 56">
            <a:extLst>
              <a:ext uri="{FF2B5EF4-FFF2-40B4-BE49-F238E27FC236}">
                <a16:creationId xmlns:a16="http://schemas.microsoft.com/office/drawing/2014/main" id="{6F4D91A9-94DD-4B30-8851-6357D2A34B69}"/>
              </a:ext>
            </a:extLst>
          </xdr:cNvPr>
          <xdr:cNvSpPr txBox="1"/>
        </xdr:nvSpPr>
        <xdr:spPr>
          <a:xfrm>
            <a:off x="9986715" y="976193"/>
            <a:ext cx="1085752" cy="257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-75.9%</a:t>
            </a:r>
            <a:endParaRPr lang="en-US" sz="4000" b="1"/>
          </a:p>
        </xdr:txBody>
      </xdr:sp>
    </xdr:grpSp>
    <xdr:clientData/>
  </xdr:twoCellAnchor>
  <xdr:twoCellAnchor>
    <xdr:from>
      <xdr:col>3</xdr:col>
      <xdr:colOff>304800</xdr:colOff>
      <xdr:row>8</xdr:row>
      <xdr:rowOff>91440</xdr:rowOff>
    </xdr:from>
    <xdr:to>
      <xdr:col>12</xdr:col>
      <xdr:colOff>472440</xdr:colOff>
      <xdr:row>14</xdr:row>
      <xdr:rowOff>22860</xdr:rowOff>
    </xdr:to>
    <xdr:sp macro="" textlink="">
      <xdr:nvSpPr>
        <xdr:cNvPr id="58" name="TextBox 57">
          <a:extLst>
            <a:ext uri="{FF2B5EF4-FFF2-40B4-BE49-F238E27FC236}">
              <a16:creationId xmlns:a16="http://schemas.microsoft.com/office/drawing/2014/main" id="{CDE43C61-B899-40E2-AF93-CDA81D041474}"/>
            </a:ext>
          </a:extLst>
        </xdr:cNvPr>
        <xdr:cNvSpPr txBox="1"/>
      </xdr:nvSpPr>
      <xdr:spPr>
        <a:xfrm>
          <a:off x="2133600" y="1554480"/>
          <a:ext cx="5654040" cy="10287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Best Performers</a:t>
          </a:r>
        </a:p>
        <a:p>
          <a:pPr algn="l"/>
          <a:r>
            <a:rPr lang="en-US" sz="1200" b="1"/>
            <a:t>Commodity	</a:t>
          </a:r>
          <a:r>
            <a:rPr lang="en-US" sz="1100"/>
            <a:t>	</a:t>
          </a:r>
          <a:r>
            <a:rPr lang="en-US" sz="1200" b="1"/>
            <a:t>Annual</a:t>
          </a:r>
          <a:r>
            <a:rPr lang="en-US" sz="1200" b="1" baseline="0"/>
            <a:t> Change %</a:t>
          </a:r>
          <a:r>
            <a:rPr lang="en-US" sz="1100" baseline="0"/>
            <a:t>	</a:t>
          </a:r>
          <a:r>
            <a:rPr lang="en-US" sz="1200" b="1" baseline="0"/>
            <a:t>Risk %</a:t>
          </a:r>
          <a:endParaRPr lang="en-US" sz="1100" b="1" baseline="0"/>
        </a:p>
        <a:p>
          <a:pPr algn="l"/>
          <a:r>
            <a:rPr lang="en-US" sz="1200" baseline="0"/>
            <a:t>1. Sugar		14%		62.8%</a:t>
          </a:r>
        </a:p>
        <a:p>
          <a:pPr algn="l"/>
          <a:r>
            <a:rPr lang="en-US" sz="1200" baseline="0"/>
            <a:t>2. Coffee		8.6%		55.6%</a:t>
          </a:r>
        </a:p>
        <a:p>
          <a:pPr algn="l"/>
          <a:r>
            <a:rPr lang="en-US" sz="1200" baseline="0"/>
            <a:t>3. Lumber		6.3%		46.3%</a:t>
          </a:r>
          <a:endParaRPr lang="en-US" sz="1200"/>
        </a:p>
      </xdr:txBody>
    </xdr:sp>
    <xdr:clientData/>
  </xdr:twoCellAnchor>
  <xdr:twoCellAnchor>
    <xdr:from>
      <xdr:col>12</xdr:col>
      <xdr:colOff>571500</xdr:colOff>
      <xdr:row>8</xdr:row>
      <xdr:rowOff>91440</xdr:rowOff>
    </xdr:from>
    <xdr:to>
      <xdr:col>22</xdr:col>
      <xdr:colOff>38100</xdr:colOff>
      <xdr:row>14</xdr:row>
      <xdr:rowOff>22860</xdr:rowOff>
    </xdr:to>
    <xdr:sp macro="" textlink="">
      <xdr:nvSpPr>
        <xdr:cNvPr id="59" name="TextBox 58">
          <a:extLst>
            <a:ext uri="{FF2B5EF4-FFF2-40B4-BE49-F238E27FC236}">
              <a16:creationId xmlns:a16="http://schemas.microsoft.com/office/drawing/2014/main" id="{ACC9E8A7-D10D-4B19-88E3-5AE76F963849}"/>
            </a:ext>
          </a:extLst>
        </xdr:cNvPr>
        <xdr:cNvSpPr txBox="1"/>
      </xdr:nvSpPr>
      <xdr:spPr>
        <a:xfrm>
          <a:off x="7886700" y="1554480"/>
          <a:ext cx="5562600" cy="10287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Strongest Growth</a:t>
          </a:r>
        </a:p>
        <a:p>
          <a:pPr algn="l"/>
          <a:r>
            <a:rPr lang="en-US" sz="1200" b="1"/>
            <a:t>Commodity	</a:t>
          </a:r>
          <a:r>
            <a:rPr lang="en-US" sz="1100"/>
            <a:t>	</a:t>
          </a:r>
          <a:r>
            <a:rPr lang="en-US" sz="1200" b="1"/>
            <a:t>Year	</a:t>
          </a:r>
          <a:r>
            <a:rPr lang="en-US" sz="1100" baseline="0"/>
            <a:t>	</a:t>
          </a:r>
          <a:r>
            <a:rPr lang="en-US" sz="1100" b="1">
              <a:solidFill>
                <a:schemeClr val="dk1"/>
              </a:solidFill>
              <a:effectLst/>
              <a:latin typeface="+mn-lt"/>
              <a:ea typeface="+mn-ea"/>
              <a:cs typeface="+mn-cs"/>
            </a:rPr>
            <a:t>Annual</a:t>
          </a:r>
          <a:r>
            <a:rPr lang="en-US" sz="1100" b="1" baseline="0">
              <a:solidFill>
                <a:schemeClr val="dk1"/>
              </a:solidFill>
              <a:effectLst/>
              <a:latin typeface="+mn-lt"/>
              <a:ea typeface="+mn-ea"/>
              <a:cs typeface="+mn-cs"/>
            </a:rPr>
            <a:t> Change</a:t>
          </a:r>
          <a:endParaRPr lang="en-US" sz="1100" b="1" baseline="0"/>
        </a:p>
        <a:p>
          <a:pPr algn="l"/>
          <a:r>
            <a:rPr lang="en-US" sz="1200" baseline="0"/>
            <a:t>1. Sugar		1974		282.8%</a:t>
          </a:r>
        </a:p>
        <a:p>
          <a:pPr algn="l"/>
          <a:r>
            <a:rPr lang="en-US" sz="1200" baseline="0"/>
            <a:t>2. Coffee		1976		157.3%</a:t>
          </a:r>
        </a:p>
        <a:p>
          <a:pPr algn="l"/>
          <a:r>
            <a:rPr lang="en-US" sz="1200" baseline="0"/>
            <a:t>3. Lumber		1973		150%</a:t>
          </a:r>
          <a:endParaRPr lang="en-US" sz="1200"/>
        </a:p>
      </xdr:txBody>
    </xdr:sp>
    <xdr:clientData/>
  </xdr:twoCellAnchor>
  <xdr:twoCellAnchor>
    <xdr:from>
      <xdr:col>3</xdr:col>
      <xdr:colOff>304800</xdr:colOff>
      <xdr:row>14</xdr:row>
      <xdr:rowOff>114300</xdr:rowOff>
    </xdr:from>
    <xdr:to>
      <xdr:col>12</xdr:col>
      <xdr:colOff>472440</xdr:colOff>
      <xdr:row>20</xdr:row>
      <xdr:rowOff>45720</xdr:rowOff>
    </xdr:to>
    <xdr:sp macro="" textlink="">
      <xdr:nvSpPr>
        <xdr:cNvPr id="60" name="TextBox 59">
          <a:extLst>
            <a:ext uri="{FF2B5EF4-FFF2-40B4-BE49-F238E27FC236}">
              <a16:creationId xmlns:a16="http://schemas.microsoft.com/office/drawing/2014/main" id="{F65E3A87-B045-4BB9-BF45-65B37602914B}"/>
            </a:ext>
          </a:extLst>
        </xdr:cNvPr>
        <xdr:cNvSpPr txBox="1"/>
      </xdr:nvSpPr>
      <xdr:spPr>
        <a:xfrm>
          <a:off x="2133600" y="2674620"/>
          <a:ext cx="5654040" cy="10287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Largest Declines</a:t>
          </a:r>
        </a:p>
        <a:p>
          <a:pPr algn="l"/>
          <a:r>
            <a:rPr lang="en-US" sz="1200" b="1"/>
            <a:t>Commodity	</a:t>
          </a:r>
          <a:r>
            <a:rPr lang="en-US" sz="1100"/>
            <a:t>	</a:t>
          </a:r>
          <a:r>
            <a:rPr lang="en-US" sz="1200" b="1"/>
            <a:t>Year</a:t>
          </a:r>
          <a:r>
            <a:rPr lang="en-US" sz="1100" baseline="0"/>
            <a:t>	</a:t>
          </a:r>
          <a:r>
            <a:rPr lang="en-US" sz="1200" b="1" baseline="0"/>
            <a:t>Annual %</a:t>
          </a:r>
          <a:endParaRPr lang="en-US" sz="1100" b="1" baseline="0"/>
        </a:p>
        <a:p>
          <a:pPr algn="l"/>
          <a:r>
            <a:rPr lang="en-US" sz="1200" baseline="0"/>
            <a:t>1. Sugar		1964		-75.9%</a:t>
          </a:r>
        </a:p>
        <a:p>
          <a:pPr algn="l"/>
          <a:r>
            <a:rPr lang="en-US" sz="1200" baseline="0"/>
            <a:t>2. Lumber		2022		-66.5%</a:t>
          </a:r>
        </a:p>
        <a:p>
          <a:pPr algn="l"/>
          <a:r>
            <a:rPr lang="en-US" sz="1200" baseline="0"/>
            <a:t>3. Cotton		1974		-58.5%</a:t>
          </a:r>
          <a:endParaRPr lang="en-US" sz="1200"/>
        </a:p>
      </xdr:txBody>
    </xdr:sp>
    <xdr:clientData/>
  </xdr:twoCellAnchor>
  <xdr:twoCellAnchor>
    <xdr:from>
      <xdr:col>12</xdr:col>
      <xdr:colOff>571500</xdr:colOff>
      <xdr:row>14</xdr:row>
      <xdr:rowOff>106680</xdr:rowOff>
    </xdr:from>
    <xdr:to>
      <xdr:col>22</xdr:col>
      <xdr:colOff>38100</xdr:colOff>
      <xdr:row>20</xdr:row>
      <xdr:rowOff>38100</xdr:rowOff>
    </xdr:to>
    <xdr:sp macro="" textlink="">
      <xdr:nvSpPr>
        <xdr:cNvPr id="63" name="TextBox 62">
          <a:extLst>
            <a:ext uri="{FF2B5EF4-FFF2-40B4-BE49-F238E27FC236}">
              <a16:creationId xmlns:a16="http://schemas.microsoft.com/office/drawing/2014/main" id="{1694C12E-45D8-4CA4-B51E-E937DF1B4DFD}"/>
            </a:ext>
          </a:extLst>
        </xdr:cNvPr>
        <xdr:cNvSpPr txBox="1"/>
      </xdr:nvSpPr>
      <xdr:spPr>
        <a:xfrm>
          <a:off x="7886700" y="2667000"/>
          <a:ext cx="5562600" cy="102870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Stable</a:t>
          </a:r>
          <a:r>
            <a:rPr lang="en-US" sz="1200" b="1" baseline="0"/>
            <a:t> Commodities</a:t>
          </a:r>
          <a:endParaRPr lang="en-US" sz="1200" b="1"/>
        </a:p>
        <a:p>
          <a:pPr algn="l"/>
          <a:r>
            <a:rPr lang="en-US" sz="1200" b="1"/>
            <a:t>Commodity	</a:t>
          </a:r>
          <a:r>
            <a:rPr lang="en-US" sz="1100"/>
            <a:t>	</a:t>
          </a:r>
          <a:r>
            <a:rPr lang="en-US" sz="1200" b="1"/>
            <a:t>Annual</a:t>
          </a:r>
          <a:r>
            <a:rPr lang="en-US" sz="1200" b="1" baseline="0"/>
            <a:t> Change </a:t>
          </a:r>
          <a:r>
            <a:rPr lang="en-US" sz="1200" b="1"/>
            <a:t>	</a:t>
          </a:r>
          <a:r>
            <a:rPr lang="en-US" sz="1100" b="1">
              <a:solidFill>
                <a:schemeClr val="dk1"/>
              </a:solidFill>
              <a:effectLst/>
              <a:latin typeface="+mn-lt"/>
              <a:ea typeface="+mn-ea"/>
              <a:cs typeface="+mn-cs"/>
            </a:rPr>
            <a:t>Annual</a:t>
          </a:r>
          <a:r>
            <a:rPr lang="en-US" sz="1100" b="1" baseline="0">
              <a:solidFill>
                <a:schemeClr val="dk1"/>
              </a:solidFill>
              <a:effectLst/>
              <a:latin typeface="+mn-lt"/>
              <a:ea typeface="+mn-ea"/>
              <a:cs typeface="+mn-cs"/>
            </a:rPr>
            <a:t> Range</a:t>
          </a:r>
          <a:endParaRPr lang="en-US" sz="1100" b="1" baseline="0"/>
        </a:p>
        <a:p>
          <a:pPr algn="l"/>
          <a:r>
            <a:rPr lang="en-US" sz="1200" baseline="0"/>
            <a:t>1. Corn		4.7%		35.1%</a:t>
          </a:r>
        </a:p>
        <a:p>
          <a:pPr algn="l"/>
          <a:r>
            <a:rPr lang="en-US" sz="1200" baseline="0"/>
            <a:t>2. Wheat		4.8%		37.6%</a:t>
          </a:r>
        </a:p>
        <a:p>
          <a:pPr algn="l"/>
          <a:r>
            <a:rPr lang="en-US" sz="1200" baseline="0"/>
            <a:t>3. Soyabean		5.3%		36.3%</a:t>
          </a:r>
          <a:endParaRPr lang="en-US" sz="1200"/>
        </a:p>
      </xdr:txBody>
    </xdr:sp>
    <xdr:clientData/>
  </xdr:twoCellAnchor>
  <xdr:twoCellAnchor>
    <xdr:from>
      <xdr:col>18</xdr:col>
      <xdr:colOff>343571</xdr:colOff>
      <xdr:row>3</xdr:row>
      <xdr:rowOff>99060</xdr:rowOff>
    </xdr:from>
    <xdr:to>
      <xdr:col>22</xdr:col>
      <xdr:colOff>36141</xdr:colOff>
      <xdr:row>7</xdr:row>
      <xdr:rowOff>152400</xdr:rowOff>
    </xdr:to>
    <xdr:grpSp>
      <xdr:nvGrpSpPr>
        <xdr:cNvPr id="64" name="Group 63">
          <a:extLst>
            <a:ext uri="{FF2B5EF4-FFF2-40B4-BE49-F238E27FC236}">
              <a16:creationId xmlns:a16="http://schemas.microsoft.com/office/drawing/2014/main" id="{541F4108-2CBB-4E16-B467-BF497AAF6A31}"/>
            </a:ext>
          </a:extLst>
        </xdr:cNvPr>
        <xdr:cNvGrpSpPr/>
      </xdr:nvGrpSpPr>
      <xdr:grpSpPr>
        <a:xfrm>
          <a:off x="11316371" y="579120"/>
          <a:ext cx="2130970" cy="784860"/>
          <a:chOff x="1833309" y="731520"/>
          <a:chExt cx="1839531" cy="1043940"/>
        </a:xfrm>
      </xdr:grpSpPr>
      <xdr:sp macro="" textlink="">
        <xdr:nvSpPr>
          <xdr:cNvPr id="65" name="Rectangle: Rounded Corners 64">
            <a:extLst>
              <a:ext uri="{FF2B5EF4-FFF2-40B4-BE49-F238E27FC236}">
                <a16:creationId xmlns:a16="http://schemas.microsoft.com/office/drawing/2014/main" id="{B40DCA90-6CCD-4989-815C-D7616464A009}"/>
              </a:ext>
            </a:extLst>
          </xdr:cNvPr>
          <xdr:cNvSpPr/>
        </xdr:nvSpPr>
        <xdr:spPr>
          <a:xfrm>
            <a:off x="1851660" y="731520"/>
            <a:ext cx="1821180" cy="104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1991D561-CEAF-4C3F-911F-3985224BFA32}"/>
              </a:ext>
            </a:extLst>
          </xdr:cNvPr>
          <xdr:cNvSpPr txBox="1"/>
        </xdr:nvSpPr>
        <xdr:spPr>
          <a:xfrm>
            <a:off x="2064629" y="769093"/>
            <a:ext cx="1483513" cy="37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t>Most</a:t>
            </a:r>
            <a:r>
              <a:rPr lang="en-US" sz="1200" b="1" baseline="0"/>
              <a:t> Stable Commodity</a:t>
            </a:r>
            <a:endParaRPr lang="en-US" sz="1200" b="1"/>
          </a:p>
        </xdr:txBody>
      </xdr:sp>
      <xdr:sp macro="" textlink="Measures!$A$3">
        <xdr:nvSpPr>
          <xdr:cNvPr id="67" name="TextBox 66">
            <a:extLst>
              <a:ext uri="{FF2B5EF4-FFF2-40B4-BE49-F238E27FC236}">
                <a16:creationId xmlns:a16="http://schemas.microsoft.com/office/drawing/2014/main" id="{8E863FE7-3648-4DEE-A8BF-C5C9BCAAA51C}"/>
              </a:ext>
            </a:extLst>
          </xdr:cNvPr>
          <xdr:cNvSpPr txBox="1"/>
        </xdr:nvSpPr>
        <xdr:spPr>
          <a:xfrm>
            <a:off x="1833309" y="1198855"/>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Corn</a:t>
            </a:r>
            <a:endParaRPr lang="en-US" sz="4000" b="1"/>
          </a:p>
        </xdr:txBody>
      </xdr:sp>
      <xdr:sp macro="" textlink="Measures!$A$3">
        <xdr:nvSpPr>
          <xdr:cNvPr id="68" name="TextBox 67">
            <a:extLst>
              <a:ext uri="{FF2B5EF4-FFF2-40B4-BE49-F238E27FC236}">
                <a16:creationId xmlns:a16="http://schemas.microsoft.com/office/drawing/2014/main" id="{8F34BF52-AE82-4D9C-B15E-69669830674B}"/>
              </a:ext>
            </a:extLst>
          </xdr:cNvPr>
          <xdr:cNvSpPr txBox="1"/>
        </xdr:nvSpPr>
        <xdr:spPr>
          <a:xfrm>
            <a:off x="2677732" y="1198855"/>
            <a:ext cx="9372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Calibri"/>
                <a:ea typeface="Calibri"/>
                <a:cs typeface="Calibri"/>
              </a:rPr>
              <a:t>4.79%</a:t>
            </a:r>
            <a:endParaRPr lang="en-US" sz="4000" b="1"/>
          </a:p>
        </xdr:txBody>
      </xdr:sp>
    </xdr:grpSp>
    <xdr:clientData/>
  </xdr:twoCellAnchor>
  <xdr:twoCellAnchor>
    <xdr:from>
      <xdr:col>3</xdr:col>
      <xdr:colOff>335280</xdr:colOff>
      <xdr:row>20</xdr:row>
      <xdr:rowOff>129540</xdr:rowOff>
    </xdr:from>
    <xdr:to>
      <xdr:col>22</xdr:col>
      <xdr:colOff>45720</xdr:colOff>
      <xdr:row>26</xdr:row>
      <xdr:rowOff>121920</xdr:rowOff>
    </xdr:to>
    <xdr:sp macro="" textlink="">
      <xdr:nvSpPr>
        <xdr:cNvPr id="77" name="TextBox 76">
          <a:extLst>
            <a:ext uri="{FF2B5EF4-FFF2-40B4-BE49-F238E27FC236}">
              <a16:creationId xmlns:a16="http://schemas.microsoft.com/office/drawing/2014/main" id="{5240AC73-66F4-4082-90AA-FBE045CA0664}"/>
            </a:ext>
          </a:extLst>
        </xdr:cNvPr>
        <xdr:cNvSpPr txBox="1"/>
      </xdr:nvSpPr>
      <xdr:spPr>
        <a:xfrm>
          <a:off x="2164080" y="3787140"/>
          <a:ext cx="11292840" cy="1089660"/>
        </a:xfrm>
        <a:prstGeom prst="rect">
          <a:avLst/>
        </a:prstGeom>
        <a:solidFill>
          <a:schemeClr val="bg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Key</a:t>
          </a:r>
          <a:r>
            <a:rPr lang="en-US" sz="1200" b="1" baseline="0"/>
            <a:t> Business Insights</a:t>
          </a:r>
        </a:p>
        <a:p>
          <a:r>
            <a:rPr lang="en-US" sz="1100" b="1" baseline="0"/>
            <a:t>- Sugar: </a:t>
          </a:r>
          <a:r>
            <a:rPr lang="en-US" sz="1100" b="0" baseline="0"/>
            <a:t>Strong Growth but high volatility. </a:t>
          </a:r>
        </a:p>
        <a:p>
          <a:r>
            <a:rPr lang="en-US" sz="1100" b="1" baseline="0"/>
            <a:t>-</a:t>
          </a:r>
          <a:r>
            <a:rPr lang="en-US" sz="1100" b="0" baseline="0"/>
            <a:t> </a:t>
          </a:r>
          <a:r>
            <a:rPr lang="en-US" sz="1100" b="1" baseline="0"/>
            <a:t>Corn: </a:t>
          </a:r>
          <a:r>
            <a:rPr lang="en-US" sz="1100" b="0" baseline="0"/>
            <a:t>Stable Growth with relatively stable pricing.</a:t>
          </a:r>
        </a:p>
        <a:p>
          <a:r>
            <a:rPr lang="en-US" sz="1100" b="1"/>
            <a:t>- Oats:</a:t>
          </a:r>
          <a:r>
            <a:rPr lang="en-US" sz="1100" b="1" baseline="0"/>
            <a:t> </a:t>
          </a:r>
          <a:r>
            <a:rPr lang="en-US" sz="1100" b="0" baseline="0"/>
            <a:t>Moderate Growth</a:t>
          </a:r>
          <a:endParaRPr lang="en-US" sz="1200" b="1" baseline="0"/>
        </a:p>
        <a:p>
          <a:r>
            <a:rPr lang="en-US" sz="1100" b="1" baseline="0"/>
            <a:t>- Copper &amp; Wheat: </a:t>
          </a:r>
          <a:r>
            <a:rPr lang="en-US" sz="1100" b="0" baseline="0"/>
            <a:t>Most Growth years than other Commodities. 36 Growth Years both.</a:t>
          </a:r>
        </a:p>
        <a:p>
          <a:endParaRPr lang="en-US" sz="1100" b="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297180</xdr:colOff>
      <xdr:row>5</xdr:row>
      <xdr:rowOff>34290</xdr:rowOff>
    </xdr:from>
    <xdr:to>
      <xdr:col>18</xdr:col>
      <xdr:colOff>601980</xdr:colOff>
      <xdr:row>20</xdr:row>
      <xdr:rowOff>34290</xdr:rowOff>
    </xdr:to>
    <xdr:graphicFrame macro="">
      <xdr:nvGraphicFramePr>
        <xdr:cNvPr id="2" name="Chart 1">
          <a:extLst>
            <a:ext uri="{FF2B5EF4-FFF2-40B4-BE49-F238E27FC236}">
              <a16:creationId xmlns:a16="http://schemas.microsoft.com/office/drawing/2014/main" id="{EEF2FB90-44DF-4040-8434-675196FA1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40</xdr:row>
      <xdr:rowOff>133350</xdr:rowOff>
    </xdr:from>
    <xdr:to>
      <xdr:col>10</xdr:col>
      <xdr:colOff>868680</xdr:colOff>
      <xdr:row>55</xdr:row>
      <xdr:rowOff>133350</xdr:rowOff>
    </xdr:to>
    <xdr:graphicFrame macro="">
      <xdr:nvGraphicFramePr>
        <xdr:cNvPr id="3" name="Chart 2">
          <a:extLst>
            <a:ext uri="{FF2B5EF4-FFF2-40B4-BE49-F238E27FC236}">
              <a16:creationId xmlns:a16="http://schemas.microsoft.com/office/drawing/2014/main" id="{C57AA844-6AD4-48DD-9506-F1BBF1A08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1341120</xdr:colOff>
      <xdr:row>27</xdr:row>
      <xdr:rowOff>0</xdr:rowOff>
    </xdr:from>
    <xdr:to>
      <xdr:col>11</xdr:col>
      <xdr:colOff>480060</xdr:colOff>
      <xdr:row>40</xdr:row>
      <xdr:rowOff>89535</xdr:rowOff>
    </xdr:to>
    <mc:AlternateContent xmlns:mc="http://schemas.openxmlformats.org/markup-compatibility/2006" xmlns:a14="http://schemas.microsoft.com/office/drawing/2010/main">
      <mc:Choice Requires="a14">
        <xdr:graphicFrame macro="">
          <xdr:nvGraphicFramePr>
            <xdr:cNvPr id="4" name="Commodities 2">
              <a:extLst>
                <a:ext uri="{FF2B5EF4-FFF2-40B4-BE49-F238E27FC236}">
                  <a16:creationId xmlns:a16="http://schemas.microsoft.com/office/drawing/2014/main" id="{18B37089-56E3-4624-8416-FD0E601586C4}"/>
                </a:ext>
              </a:extLst>
            </xdr:cNvPr>
            <xdr:cNvGraphicFramePr/>
          </xdr:nvGraphicFramePr>
          <xdr:xfrm>
            <a:off x="0" y="0"/>
            <a:ext cx="0" cy="0"/>
          </xdr:xfrm>
          <a:graphic>
            <a:graphicData uri="http://schemas.microsoft.com/office/drawing/2010/slicer">
              <sle:slicer xmlns:sle="http://schemas.microsoft.com/office/drawing/2010/slicer" name="Commodities 2"/>
            </a:graphicData>
          </a:graphic>
        </xdr:graphicFrame>
      </mc:Choice>
      <mc:Fallback xmlns="">
        <xdr:sp macro="" textlink="">
          <xdr:nvSpPr>
            <xdr:cNvPr id="0" name=""/>
            <xdr:cNvSpPr>
              <a:spLocks noTextEdit="1"/>
            </xdr:cNvSpPr>
          </xdr:nvSpPr>
          <xdr:spPr>
            <a:xfrm>
              <a:off x="9113520" y="4937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487680</xdr:colOff>
      <xdr:row>13</xdr:row>
      <xdr:rowOff>26670</xdr:rowOff>
    </xdr:from>
    <xdr:to>
      <xdr:col>13</xdr:col>
      <xdr:colOff>533400</xdr:colOff>
      <xdr:row>28</xdr:row>
      <xdr:rowOff>26670</xdr:rowOff>
    </xdr:to>
    <xdr:graphicFrame macro="">
      <xdr:nvGraphicFramePr>
        <xdr:cNvPr id="10" name="Chart 9">
          <a:extLst>
            <a:ext uri="{FF2B5EF4-FFF2-40B4-BE49-F238E27FC236}">
              <a16:creationId xmlns:a16="http://schemas.microsoft.com/office/drawing/2014/main" id="{7C983474-862B-430F-A076-A6098E23A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243840</xdr:colOff>
      <xdr:row>23</xdr:row>
      <xdr:rowOff>53340</xdr:rowOff>
    </xdr:from>
    <xdr:to>
      <xdr:col>2</xdr:col>
      <xdr:colOff>548640</xdr:colOff>
      <xdr:row>36</xdr:row>
      <xdr:rowOff>142875</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227AC5E8-6CD0-4380-AE8F-810FBDA9AD1D}"/>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04900" y="425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815340</xdr:colOff>
      <xdr:row>23</xdr:row>
      <xdr:rowOff>68581</xdr:rowOff>
    </xdr:from>
    <xdr:to>
      <xdr:col>3</xdr:col>
      <xdr:colOff>1043940</xdr:colOff>
      <xdr:row>28</xdr:row>
      <xdr:rowOff>53340</xdr:rowOff>
    </xdr:to>
    <mc:AlternateContent xmlns:mc="http://schemas.openxmlformats.org/markup-compatibility/2006" xmlns:a14="http://schemas.microsoft.com/office/drawing/2010/main">
      <mc:Choice Requires="a14">
        <xdr:graphicFrame macro="">
          <xdr:nvGraphicFramePr>
            <xdr:cNvPr id="4" name="Growth Status">
              <a:extLst>
                <a:ext uri="{FF2B5EF4-FFF2-40B4-BE49-F238E27FC236}">
                  <a16:creationId xmlns:a16="http://schemas.microsoft.com/office/drawing/2014/main" id="{6F6BE727-410E-47D9-9E29-9AAE452E1DA0}"/>
                </a:ext>
              </a:extLst>
            </xdr:cNvPr>
            <xdr:cNvGraphicFramePr/>
          </xdr:nvGraphicFramePr>
          <xdr:xfrm>
            <a:off x="0" y="0"/>
            <a:ext cx="0" cy="0"/>
          </xdr:xfrm>
          <a:graphic>
            <a:graphicData uri="http://schemas.microsoft.com/office/drawing/2010/slicer">
              <sle:slicer xmlns:sle="http://schemas.microsoft.com/office/drawing/2010/slicer" name="Growth Status"/>
            </a:graphicData>
          </a:graphic>
        </xdr:graphicFrame>
      </mc:Choice>
      <mc:Fallback xmlns="">
        <xdr:sp macro="" textlink="">
          <xdr:nvSpPr>
            <xdr:cNvPr id="0" name=""/>
            <xdr:cNvSpPr>
              <a:spLocks noTextEdit="1"/>
            </xdr:cNvSpPr>
          </xdr:nvSpPr>
          <xdr:spPr>
            <a:xfrm>
              <a:off x="3200400" y="4274821"/>
              <a:ext cx="18288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624840</xdr:colOff>
      <xdr:row>48</xdr:row>
      <xdr:rowOff>19050</xdr:rowOff>
    </xdr:from>
    <xdr:to>
      <xdr:col>10</xdr:col>
      <xdr:colOff>106680</xdr:colOff>
      <xdr:row>63</xdr:row>
      <xdr:rowOff>19050</xdr:rowOff>
    </xdr:to>
    <xdr:graphicFrame macro="">
      <xdr:nvGraphicFramePr>
        <xdr:cNvPr id="12" name="Chart 11">
          <a:extLst>
            <a:ext uri="{FF2B5EF4-FFF2-40B4-BE49-F238E27FC236}">
              <a16:creationId xmlns:a16="http://schemas.microsoft.com/office/drawing/2014/main" id="{B5D98787-021C-4EC6-864D-9AC7CD4AE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1173480</xdr:colOff>
      <xdr:row>3</xdr:row>
      <xdr:rowOff>72390</xdr:rowOff>
    </xdr:from>
    <xdr:to>
      <xdr:col>11</xdr:col>
      <xdr:colOff>45720</xdr:colOff>
      <xdr:row>18</xdr:row>
      <xdr:rowOff>72390</xdr:rowOff>
    </xdr:to>
    <xdr:graphicFrame macro="">
      <xdr:nvGraphicFramePr>
        <xdr:cNvPr id="13" name="Chart 12">
          <a:extLst>
            <a:ext uri="{FF2B5EF4-FFF2-40B4-BE49-F238E27FC236}">
              <a16:creationId xmlns:a16="http://schemas.microsoft.com/office/drawing/2014/main" id="{A8AD6E9E-520D-4442-8916-A95102434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533400</xdr:colOff>
      <xdr:row>5</xdr:row>
      <xdr:rowOff>41910</xdr:rowOff>
    </xdr:from>
    <xdr:to>
      <xdr:col>9</xdr:col>
      <xdr:colOff>449580</xdr:colOff>
      <xdr:row>20</xdr:row>
      <xdr:rowOff>41910</xdr:rowOff>
    </xdr:to>
    <xdr:graphicFrame macro="">
      <xdr:nvGraphicFramePr>
        <xdr:cNvPr id="2" name="Chart 1">
          <a:extLst>
            <a:ext uri="{FF2B5EF4-FFF2-40B4-BE49-F238E27FC236}">
              <a16:creationId xmlns:a16="http://schemas.microsoft.com/office/drawing/2014/main" id="{AC20ECF8-9074-442C-AE67-53D68E9CE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83820</xdr:colOff>
      <xdr:row>21</xdr:row>
      <xdr:rowOff>83820</xdr:rowOff>
    </xdr:from>
    <xdr:to>
      <xdr:col>7</xdr:col>
      <xdr:colOff>1127760</xdr:colOff>
      <xdr:row>34</xdr:row>
      <xdr:rowOff>173355</xdr:rowOff>
    </xdr:to>
    <mc:AlternateContent xmlns:mc="http://schemas.openxmlformats.org/markup-compatibility/2006" xmlns:a14="http://schemas.microsoft.com/office/drawing/2010/main">
      <mc:Choice Requires="a14">
        <xdr:graphicFrame macro="">
          <xdr:nvGraphicFramePr>
            <xdr:cNvPr id="7" name="Commodities">
              <a:extLst>
                <a:ext uri="{FF2B5EF4-FFF2-40B4-BE49-F238E27FC236}">
                  <a16:creationId xmlns:a16="http://schemas.microsoft.com/office/drawing/2014/main" id="{AB70630E-C89F-4D80-B95D-2CF1D30BCFAC}"/>
                </a:ext>
              </a:extLst>
            </xdr:cNvPr>
            <xdr:cNvGraphicFramePr/>
          </xdr:nvGraphicFramePr>
          <xdr:xfrm>
            <a:off x="0" y="0"/>
            <a:ext cx="0" cy="0"/>
          </xdr:xfrm>
          <a:graphic>
            <a:graphicData uri="http://schemas.microsoft.com/office/drawing/2010/slicer">
              <sle:slicer xmlns:sle="http://schemas.microsoft.com/office/drawing/2010/slicer" name="Commodities"/>
            </a:graphicData>
          </a:graphic>
        </xdr:graphicFrame>
      </mc:Choice>
      <mc:Fallback xmlns="">
        <xdr:sp macro="" textlink="">
          <xdr:nvSpPr>
            <xdr:cNvPr id="0" name=""/>
            <xdr:cNvSpPr>
              <a:spLocks noTextEdit="1"/>
            </xdr:cNvSpPr>
          </xdr:nvSpPr>
          <xdr:spPr>
            <a:xfrm>
              <a:off x="6728460" y="392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4</xdr:col>
      <xdr:colOff>1066800</xdr:colOff>
      <xdr:row>10</xdr:row>
      <xdr:rowOff>160020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265488D-86F1-4A75-91E7-C720F6836E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65760"/>
              <a:ext cx="578358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0</xdr:rowOff>
    </xdr:from>
    <xdr:to>
      <xdr:col>9</xdr:col>
      <xdr:colOff>0</xdr:colOff>
      <xdr:row>11</xdr:row>
      <xdr:rowOff>0</xdr:rowOff>
    </xdr:to>
    <mc:AlternateContent xmlns:mc="http://schemas.openxmlformats.org/markup-compatibility/2006" xmlns:a14="http://schemas.microsoft.com/office/drawing/2010/main">
      <mc:Choice Requires="a14">
        <xdr:graphicFrame macro="">
          <xdr:nvGraphicFramePr>
            <xdr:cNvPr id="7" name="Source_Key">
              <a:extLst>
                <a:ext uri="{FF2B5EF4-FFF2-40B4-BE49-F238E27FC236}">
                  <a16:creationId xmlns:a16="http://schemas.microsoft.com/office/drawing/2014/main" id="{002C86D4-0111-4E60-A3D3-B29791652F39}"/>
                </a:ext>
              </a:extLst>
            </xdr:cNvPr>
            <xdr:cNvGraphicFramePr/>
          </xdr:nvGraphicFramePr>
          <xdr:xfrm>
            <a:off x="0" y="0"/>
            <a:ext cx="0" cy="0"/>
          </xdr:xfrm>
          <a:graphic>
            <a:graphicData uri="http://schemas.microsoft.com/office/drawing/2010/slicer">
              <sle:slicer xmlns:sle="http://schemas.microsoft.com/office/drawing/2010/slicer" name="Source_Key"/>
            </a:graphicData>
          </a:graphic>
        </xdr:graphicFrame>
      </mc:Choice>
      <mc:Fallback xmlns="">
        <xdr:sp macro="" textlink="">
          <xdr:nvSpPr>
            <xdr:cNvPr id="0" name=""/>
            <xdr:cNvSpPr>
              <a:spLocks noTextEdit="1"/>
            </xdr:cNvSpPr>
          </xdr:nvSpPr>
          <xdr:spPr>
            <a:xfrm>
              <a:off x="5814060" y="365760"/>
              <a:ext cx="4114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533400</xdr:colOff>
      <xdr:row>23</xdr:row>
      <xdr:rowOff>0</xdr:rowOff>
    </xdr:to>
    <xdr:graphicFrame macro="">
      <xdr:nvGraphicFramePr>
        <xdr:cNvPr id="2" name="Chart 1">
          <a:extLst>
            <a:ext uri="{FF2B5EF4-FFF2-40B4-BE49-F238E27FC236}">
              <a16:creationId xmlns:a16="http://schemas.microsoft.com/office/drawing/2014/main" id="{60AC04C2-4091-4D7F-B595-817EB3B64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1272540</xdr:colOff>
      <xdr:row>12</xdr:row>
      <xdr:rowOff>99060</xdr:rowOff>
    </xdr:from>
    <xdr:to>
      <xdr:col>9</xdr:col>
      <xdr:colOff>579120</xdr:colOff>
      <xdr:row>27</xdr:row>
      <xdr:rowOff>99060</xdr:rowOff>
    </xdr:to>
    <xdr:graphicFrame macro="">
      <xdr:nvGraphicFramePr>
        <xdr:cNvPr id="3" name="Chart 2">
          <a:extLst>
            <a:ext uri="{FF2B5EF4-FFF2-40B4-BE49-F238E27FC236}">
              <a16:creationId xmlns:a16="http://schemas.microsoft.com/office/drawing/2014/main" id="{5B1C1E7D-346A-491F-9134-EA93B23E0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304800</xdr:colOff>
      <xdr:row>2</xdr:row>
      <xdr:rowOff>0</xdr:rowOff>
    </xdr:from>
    <xdr:to>
      <xdr:col>10</xdr:col>
      <xdr:colOff>0</xdr:colOff>
      <xdr:row>17</xdr:row>
      <xdr:rowOff>0</xdr:rowOff>
    </xdr:to>
    <xdr:graphicFrame macro="">
      <xdr:nvGraphicFramePr>
        <xdr:cNvPr id="2" name="Chart 1">
          <a:extLst>
            <a:ext uri="{FF2B5EF4-FFF2-40B4-BE49-F238E27FC236}">
              <a16:creationId xmlns:a16="http://schemas.microsoft.com/office/drawing/2014/main" id="{0DE9F7BB-0A0B-4C27-934E-DAB3BD991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4</xdr:row>
      <xdr:rowOff>93345</xdr:rowOff>
    </xdr:from>
    <xdr:to>
      <xdr:col>13</xdr:col>
      <xdr:colOff>327660</xdr:colOff>
      <xdr:row>18</xdr:row>
      <xdr:rowOff>0</xdr:rowOff>
    </xdr:to>
    <mc:AlternateContent xmlns:mc="http://schemas.openxmlformats.org/markup-compatibility/2006" xmlns:a14="http://schemas.microsoft.com/office/drawing/2010/main">
      <mc:Choice Requires="a14">
        <xdr:graphicFrame macro="">
          <xdr:nvGraphicFramePr>
            <xdr:cNvPr id="9" name="Year 2">
              <a:extLst>
                <a:ext uri="{FF2B5EF4-FFF2-40B4-BE49-F238E27FC236}">
                  <a16:creationId xmlns:a16="http://schemas.microsoft.com/office/drawing/2014/main" id="{FD5E5E38-2673-4D31-A566-480D3F65DBE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810500" y="82486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441960</xdr:colOff>
      <xdr:row>6</xdr:row>
      <xdr:rowOff>140970</xdr:rowOff>
    </xdr:from>
    <xdr:to>
      <xdr:col>12</xdr:col>
      <xdr:colOff>121920</xdr:colOff>
      <xdr:row>21</xdr:row>
      <xdr:rowOff>140970</xdr:rowOff>
    </xdr:to>
    <xdr:graphicFrame macro="">
      <xdr:nvGraphicFramePr>
        <xdr:cNvPr id="2" name="Chart 1">
          <a:extLst>
            <a:ext uri="{FF2B5EF4-FFF2-40B4-BE49-F238E27FC236}">
              <a16:creationId xmlns:a16="http://schemas.microsoft.com/office/drawing/2014/main" id="{3E2F048C-F710-4DC4-A4BF-1F0AB0677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43634258" backgroundQuery="1" createdVersion="7" refreshedVersion="7" minRefreshableVersion="3" recordCount="0" supportSubquery="1" supportAdvancedDrill="1" xr:uid="{593079F0-FF1B-45AC-8E4B-781F69E7F5BE}">
  <cacheSource type="external" connectionId="14"/>
  <cacheFields count="3">
    <cacheField name="[All_Commodities].[Commodities].[Commodities]" caption="Commodities" numFmtId="0" hierarchy="2" level="1">
      <sharedItems count="10">
        <s v="Coffee"/>
        <s v="Copper"/>
        <s v="Corn"/>
        <s v="Cotton"/>
        <s v="Lumber"/>
        <s v="Oats"/>
        <s v="Soybean"/>
        <s v="Soybean Oil"/>
        <s v="Sugar"/>
        <s v="Wheat"/>
      </sharedItems>
      <extLst>
        <ext xmlns:x15="http://schemas.microsoft.com/office/spreadsheetml/2010/11/main" uri="{4F2E5C28-24EA-4eb8-9CBF-B6C8F9C3D259}">
          <x15:cachedUniqueNames>
            <x15:cachedUniqueName index="0" name="[All_Commodities].[Commodities].&amp;[Coffee]"/>
            <x15:cachedUniqueName index="1" name="[All_Commodities].[Commodities].&amp;[Copper]"/>
            <x15:cachedUniqueName index="2" name="[All_Commodities].[Commodities].&amp;[Corn]"/>
            <x15:cachedUniqueName index="3" name="[All_Commodities].[Commodities].&amp;[Cotton]"/>
            <x15:cachedUniqueName index="4" name="[All_Commodities].[Commodities].&amp;[Lumber]"/>
            <x15:cachedUniqueName index="5" name="[All_Commodities].[Commodities].&amp;[Oats]"/>
            <x15:cachedUniqueName index="6" name="[All_Commodities].[Commodities].&amp;[Soybean]"/>
            <x15:cachedUniqueName index="7" name="[All_Commodities].[Commodities].&amp;[Soybean Oil]"/>
            <x15:cachedUniqueName index="8" name="[All_Commodities].[Commodities].&amp;[Sugar]"/>
            <x15:cachedUniqueName index="9" name="[All_Commodities].[Commodities].&amp;[Wheat]"/>
          </x15:cachedUniqueNames>
        </ext>
      </extLst>
    </cacheField>
    <cacheField name="[Measures].[Average Annual Range %]" caption="Average Annual Range %" numFmtId="0" hierarchy="39" level="32767"/>
    <cacheField name="[Measures].[Risk Level]" caption="Risk Level" numFmtId="0" hierarchy="47" level="32767"/>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0"/>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0"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oneField="1">
      <fieldsUsage count="1">
        <fieldUsage x="1"/>
      </fieldsUsage>
    </cacheHierarchy>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oneField="1">
      <fieldsUsage count="1">
        <fieldUsage x="2"/>
      </fieldsUsage>
    </cacheHierarchy>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51388886" backgroundQuery="1" createdVersion="7" refreshedVersion="7" minRefreshableVersion="3" recordCount="0" supportSubquery="1" supportAdvancedDrill="1" xr:uid="{BFD54AF7-70E7-4147-943E-CC21E3D4CD62}">
  <cacheSource type="external" connectionId="14"/>
  <cacheFields count="5">
    <cacheField name="[Measures].[Worst Performing Year]" caption="Worst Performing Year" numFmtId="0" hierarchy="34" level="32767"/>
    <cacheField name="[Measures].[Best Performing Year %]" caption="Best Performing Year %" numFmtId="0" hierarchy="35" level="32767"/>
    <cacheField name="[Measures].[Worst Performing Year %]" caption="Worst Performing Year %" numFmtId="0" hierarchy="36" level="32767"/>
    <cacheField name="[Measures].[Best Performing Year]" caption="Best Performing Year" numFmtId="0" hierarchy="33"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4"/>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0"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oneField="1">
      <fieldsUsage count="1">
        <fieldUsage x="3"/>
      </fieldsUsage>
    </cacheHierarchy>
    <cacheHierarchy uniqueName="[Measures].[Worst Performing Year]" caption="Worst Performing Year" measure="1" displayFolder="" measureGroup="All_Commodities" count="0" oneField="1">
      <fieldsUsage count="1">
        <fieldUsage x="0"/>
      </fieldsUsage>
    </cacheHierarchy>
    <cacheHierarchy uniqueName="[Measures].[Best Performing Year %]" caption="Best Performing Year %" measure="1" displayFolder="" measureGroup="All_Commodities" count="0" oneField="1">
      <fieldsUsage count="1">
        <fieldUsage x="1"/>
      </fieldsUsage>
    </cacheHierarchy>
    <cacheHierarchy uniqueName="[Measures].[Worst Performing Year %]" caption="Worst Performing Year %" measure="1" displayFolder="" measureGroup="All_Commodities" count="0" oneField="1">
      <fieldsUsage count="1">
        <fieldUsage x="2"/>
      </fieldsUsage>
    </cacheHierarchy>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52314817" backgroundQuery="1" createdVersion="7" refreshedVersion="7" minRefreshableVersion="3" recordCount="0" supportSubquery="1" supportAdvancedDrill="1" xr:uid="{1C785207-AB7A-4D93-872D-EA9C0D56DB90}">
  <cacheSource type="external" connectionId="14"/>
  <cacheFields count="3">
    <cacheField name="[DimYear].[Year].[Year]" caption="Year" numFmtId="0" hierarchy="13"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DimYear].[Year].&amp;[2014]"/>
            <x15:cachedUniqueName index="1" name="[DimYear].[Year].&amp;[2015]"/>
            <x15:cachedUniqueName index="2" name="[DimYear].[Year].&amp;[2016]"/>
            <x15:cachedUniqueName index="3" name="[DimYear].[Year].&amp;[2017]"/>
            <x15:cachedUniqueName index="4" name="[DimYear].[Year].&amp;[2018]"/>
            <x15:cachedUniqueName index="5" name="[DimYear].[Year].&amp;[2019]"/>
            <x15:cachedUniqueName index="6" name="[DimYear].[Year].&amp;[2020]"/>
            <x15:cachedUniqueName index="7" name="[DimYear].[Year].&amp;[2021]"/>
            <x15:cachedUniqueName index="8" name="[DimYear].[Year].&amp;[2022]"/>
            <x15:cachedUniqueName index="9" name="[DimYear].[Year].&amp;[2023]"/>
            <x15:cachedUniqueName index="10" name="[DimYear].[Year].&amp;[2024]"/>
          </x15:cachedUniqueNames>
        </ext>
      </extLst>
    </cacheField>
    <cacheField name="[Measures].[Average Annual Range %]" caption="Average Annual Range %" numFmtId="0" hierarchy="39"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2"/>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fieldsUsage count="2">
        <fieldUsage x="-1"/>
        <fieldUsage x="0"/>
      </fieldsUsage>
    </cacheHierarchy>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oneField="1">
      <fieldsUsage count="1">
        <fieldUsage x="1"/>
      </fieldsUsage>
    </cacheHierarchy>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1551967594" backgroundQuery="1" createdVersion="7" refreshedVersion="7" minRefreshableVersion="3" recordCount="0" supportSubquery="1" supportAdvancedDrill="1" xr:uid="{683F149F-3222-4FF2-A78B-C65CF1A5AD26}">
  <cacheSource type="external" connectionId="14"/>
  <cacheFields count="6">
    <cacheField name="[DimYear].[Year].[Year]" caption="Year" numFmtId="0" hierarchy="13" level="1">
      <sharedItems containsSemiMixedTypes="0" containsString="0" containsNumber="1" containsInteger="1" minValue="1960" maxValue="2024" count="65">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DimYear].[Year].&amp;[1960]"/>
            <x15:cachedUniqueName index="1" name="[DimYear].[Year].&amp;[1961]"/>
            <x15:cachedUniqueName index="2" name="[DimYear].[Year].&amp;[1962]"/>
            <x15:cachedUniqueName index="3" name="[DimYear].[Year].&amp;[1963]"/>
            <x15:cachedUniqueName index="4" name="[DimYear].[Year].&amp;[1964]"/>
            <x15:cachedUniqueName index="5" name="[DimYear].[Year].&amp;[1965]"/>
            <x15:cachedUniqueName index="6" name="[DimYear].[Year].&amp;[1966]"/>
            <x15:cachedUniqueName index="7" name="[DimYear].[Year].&amp;[1967]"/>
            <x15:cachedUniqueName index="8" name="[DimYear].[Year].&amp;[1968]"/>
            <x15:cachedUniqueName index="9" name="[DimYear].[Year].&amp;[1969]"/>
            <x15:cachedUniqueName index="10" name="[DimYear].[Year].&amp;[1970]"/>
            <x15:cachedUniqueName index="11" name="[DimYear].[Year].&amp;[1971]"/>
            <x15:cachedUniqueName index="12" name="[DimYear].[Year].&amp;[1972]"/>
            <x15:cachedUniqueName index="13" name="[DimYear].[Year].&amp;[1973]"/>
            <x15:cachedUniqueName index="14" name="[DimYear].[Year].&amp;[1974]"/>
            <x15:cachedUniqueName index="15" name="[DimYear].[Year].&amp;[1975]"/>
            <x15:cachedUniqueName index="16" name="[DimYear].[Year].&amp;[1976]"/>
            <x15:cachedUniqueName index="17" name="[DimYear].[Year].&amp;[1977]"/>
            <x15:cachedUniqueName index="18" name="[DimYear].[Year].&amp;[1978]"/>
            <x15:cachedUniqueName index="19" name="[DimYear].[Year].&amp;[1979]"/>
            <x15:cachedUniqueName index="20" name="[DimYear].[Year].&amp;[1980]"/>
            <x15:cachedUniqueName index="21" name="[DimYear].[Year].&amp;[1981]"/>
            <x15:cachedUniqueName index="22" name="[DimYear].[Year].&amp;[1982]"/>
            <x15:cachedUniqueName index="23" name="[DimYear].[Year].&amp;[1983]"/>
            <x15:cachedUniqueName index="24" name="[DimYear].[Year].&amp;[1984]"/>
            <x15:cachedUniqueName index="25" name="[DimYear].[Year].&amp;[1985]"/>
            <x15:cachedUniqueName index="26" name="[DimYear].[Year].&amp;[1986]"/>
            <x15:cachedUniqueName index="27" name="[DimYear].[Year].&amp;[1987]"/>
            <x15:cachedUniqueName index="28" name="[DimYear].[Year].&amp;[1988]"/>
            <x15:cachedUniqueName index="29" name="[DimYear].[Year].&amp;[1989]"/>
            <x15:cachedUniqueName index="30" name="[DimYear].[Year].&amp;[1990]"/>
            <x15:cachedUniqueName index="31" name="[DimYear].[Year].&amp;[1991]"/>
            <x15:cachedUniqueName index="32" name="[DimYear].[Year].&amp;[1992]"/>
            <x15:cachedUniqueName index="33" name="[DimYear].[Year].&amp;[1993]"/>
            <x15:cachedUniqueName index="34" name="[DimYear].[Year].&amp;[1994]"/>
            <x15:cachedUniqueName index="35" name="[DimYear].[Year].&amp;[1995]"/>
            <x15:cachedUniqueName index="36" name="[DimYear].[Year].&amp;[1996]"/>
            <x15:cachedUniqueName index="37" name="[DimYear].[Year].&amp;[1997]"/>
            <x15:cachedUniqueName index="38" name="[DimYear].[Year].&amp;[1998]"/>
            <x15:cachedUniqueName index="39" name="[DimYear].[Year].&amp;[1999]"/>
            <x15:cachedUniqueName index="40" name="[DimYear].[Year].&amp;[2000]"/>
            <x15:cachedUniqueName index="41" name="[DimYear].[Year].&amp;[2001]"/>
            <x15:cachedUniqueName index="42" name="[DimYear].[Year].&amp;[2002]"/>
            <x15:cachedUniqueName index="43" name="[DimYear].[Year].&amp;[2003]"/>
            <x15:cachedUniqueName index="44" name="[DimYear].[Year].&amp;[2004]"/>
            <x15:cachedUniqueName index="45" name="[DimYear].[Year].&amp;[2005]"/>
            <x15:cachedUniqueName index="46" name="[DimYear].[Year].&amp;[2006]"/>
            <x15:cachedUniqueName index="47" name="[DimYear].[Year].&amp;[2007]"/>
            <x15:cachedUniqueName index="48" name="[DimYear].[Year].&amp;[2008]"/>
            <x15:cachedUniqueName index="49" name="[DimYear].[Year].&amp;[2009]"/>
            <x15:cachedUniqueName index="50" name="[DimYear].[Year].&amp;[2010]"/>
            <x15:cachedUniqueName index="51" name="[DimYear].[Year].&amp;[2011]"/>
            <x15:cachedUniqueName index="52" name="[DimYear].[Year].&amp;[2012]"/>
            <x15:cachedUniqueName index="53" name="[DimYear].[Year].&amp;[2013]"/>
            <x15:cachedUniqueName index="54" name="[DimYear].[Year].&amp;[2014]"/>
            <x15:cachedUniqueName index="55" name="[DimYear].[Year].&amp;[2015]"/>
            <x15:cachedUniqueName index="56" name="[DimYear].[Year].&amp;[2016]"/>
            <x15:cachedUniqueName index="57" name="[DimYear].[Year].&amp;[2017]"/>
            <x15:cachedUniqueName index="58" name="[DimYear].[Year].&amp;[2018]"/>
            <x15:cachedUniqueName index="59" name="[DimYear].[Year].&amp;[2019]"/>
            <x15:cachedUniqueName index="60" name="[DimYear].[Year].&amp;[2020]"/>
            <x15:cachedUniqueName index="61" name="[DimYear].[Year].&amp;[2021]"/>
            <x15:cachedUniqueName index="62" name="[DimYear].[Year].&amp;[2022]"/>
            <x15:cachedUniqueName index="63" name="[DimYear].[Year].&amp;[2023]"/>
            <x15:cachedUniqueName index="64" name="[DimYear].[Year].&amp;[2024]"/>
          </x15:cachedUniqueNames>
        </ext>
      </extLst>
    </cacheField>
    <cacheField name="[Measures].[Average Opening Price]" caption="Average Opening Price" numFmtId="0" hierarchy="26" level="32767"/>
    <cacheField name="[Measures].[Average Closing Price]" caption="Average Closing Price" numFmtId="0" hierarchy="27" level="32767"/>
    <cacheField name="[Measures].[Average High Price]" caption="Average High Price" numFmtId="0" hierarchy="28" level="32767"/>
    <cacheField name="[Measures].[Average Low Price]" caption="Average Low Price" numFmtId="0" hierarchy="29"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5"/>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fieldsUsage count="2">
        <fieldUsage x="-1"/>
        <fieldUsage x="0"/>
      </fieldsUsage>
    </cacheHierarchy>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oneField="1">
      <fieldsUsage count="1">
        <fieldUsage x="1"/>
      </fieldsUsage>
    </cacheHierarchy>
    <cacheHierarchy uniqueName="[Measures].[Average Closing Price]" caption="Average Closing Price" measure="1" displayFolder="" measureGroup="All_Commodities" count="0" oneField="1">
      <fieldsUsage count="1">
        <fieldUsage x="2"/>
      </fieldsUsage>
    </cacheHierarchy>
    <cacheHierarchy uniqueName="[Measures].[Average High Price]" caption="Average High Price" measure="1" displayFolder="" measureGroup="All_Commodities" count="0" oneField="1">
      <fieldsUsage count="1">
        <fieldUsage x="3"/>
      </fieldsUsage>
    </cacheHierarchy>
    <cacheHierarchy uniqueName="[Measures].[Average Low Price]" caption="Average Low Price" measure="1" displayFolder="" measureGroup="All_Commodities" count="0" oneField="1">
      <fieldsUsage count="1">
        <fieldUsage x="4"/>
      </fieldsUsage>
    </cacheHierarchy>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1553009256" backgroundQuery="1" createdVersion="7" refreshedVersion="7" minRefreshableVersion="3" recordCount="0" supportSubquery="1" supportAdvancedDrill="1" xr:uid="{D5348F70-23A6-4805-904A-BD0C8115ADA5}">
  <cacheSource type="external" connectionId="14"/>
  <cacheFields count="10">
    <cacheField name="[Measures].[Average Opening Price]" caption="Average Opening Price" numFmtId="0" hierarchy="26" level="32767"/>
    <cacheField name="[Measures].[Average Closing Price]" caption="Average Closing Price" numFmtId="0" hierarchy="27" level="32767"/>
    <cacheField name="[Measures].[Average High Price]" caption="Average High Price" numFmtId="0" hierarchy="28" level="32767"/>
    <cacheField name="[Measures].[Average Low Price]" caption="Average Low Price" numFmtId="0" hierarchy="29" level="32767"/>
    <cacheField name="[Measures].[Annual Change %]" caption="Annual Change %" numFmtId="0" hierarchy="32" level="32767"/>
    <cacheField name="[Measures].[Average Commodity Price]" caption="Average Commodity Price" numFmtId="0" hierarchy="38" level="32767"/>
    <cacheField name="[Measures].[Average Annual Range %]" caption="Average Annual Range %" numFmtId="0" hierarchy="39" level="32767"/>
    <cacheField name="[Measures].[Lowest Price]" caption="Lowest Price" numFmtId="0" hierarchy="31" level="32767"/>
    <cacheField name="[Measures].[Highest Price]" caption="Highest Price" numFmtId="0" hierarchy="30"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9"/>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oneField="1">
      <fieldsUsage count="1">
        <fieldUsage x="0"/>
      </fieldsUsage>
    </cacheHierarchy>
    <cacheHierarchy uniqueName="[Measures].[Average Closing Price]" caption="Average Closing Price" measure="1" displayFolder="" measureGroup="All_Commodities" count="0" oneField="1">
      <fieldsUsage count="1">
        <fieldUsage x="1"/>
      </fieldsUsage>
    </cacheHierarchy>
    <cacheHierarchy uniqueName="[Measures].[Average High Price]" caption="Average High Price" measure="1" displayFolder="" measureGroup="All_Commodities" count="0" oneField="1">
      <fieldsUsage count="1">
        <fieldUsage x="2"/>
      </fieldsUsage>
    </cacheHierarchy>
    <cacheHierarchy uniqueName="[Measures].[Average Low Price]" caption="Average Low Price" measure="1" displayFolder="" measureGroup="All_Commodities" count="0" oneField="1">
      <fieldsUsage count="1">
        <fieldUsage x="3"/>
      </fieldsUsage>
    </cacheHierarchy>
    <cacheHierarchy uniqueName="[Measures].[Highest Price]" caption="Highest Price" measure="1" displayFolder="" measureGroup="All_Commodities" count="0" oneField="1">
      <fieldsUsage count="1">
        <fieldUsage x="8"/>
      </fieldsUsage>
    </cacheHierarchy>
    <cacheHierarchy uniqueName="[Measures].[Lowest Price]" caption="Lowest Price" measure="1" displayFolder="" measureGroup="All_Commodities" count="0" oneField="1">
      <fieldsUsage count="1">
        <fieldUsage x="7"/>
      </fieldsUsage>
    </cacheHierarchy>
    <cacheHierarchy uniqueName="[Measures].[Annual Change %]" caption="Annual Change %" measure="1" displayFolder="" measureGroup="All_Commodities" count="0" oneField="1">
      <fieldsUsage count="1">
        <fieldUsage x="4"/>
      </fieldsUsage>
    </cacheHierarchy>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oneField="1">
      <fieldsUsage count="1">
        <fieldUsage x="5"/>
      </fieldsUsage>
    </cacheHierarchy>
    <cacheHierarchy uniqueName="[Measures].[Average Annual Range %]" caption="Average Annual Range %" measure="1" displayFolder="" measureGroup="All_Commodities" count="0" oneField="1">
      <fieldsUsage count="1">
        <fieldUsage x="6"/>
      </fieldsUsage>
    </cacheHierarchy>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1553935187" backgroundQuery="1" createdVersion="7" refreshedVersion="7" minRefreshableVersion="3" recordCount="0" supportSubquery="1" supportAdvancedDrill="1" xr:uid="{4116289D-6E7C-430D-B371-F7FD6FA6BED3}">
  <cacheSource type="external" connectionId="14"/>
  <cacheFields count="2">
    <cacheField name="[All_Commodities].[Commodities].[Commodities]" caption="Commodities" numFmtId="0" hierarchy="2" level="1">
      <sharedItems count="1">
        <s v="Copper"/>
      </sharedItems>
      <extLst>
        <ext xmlns:x15="http://schemas.microsoft.com/office/spreadsheetml/2010/11/main" uri="{4F2E5C28-24EA-4eb8-9CBF-B6C8F9C3D259}">
          <x15:cachedUniqueNames>
            <x15:cachedUniqueName index="0" name="[All_Commodities].[Commodities].&amp;[Copper]"/>
          </x15:cachedUniqueNames>
        </ext>
      </extLst>
    </cacheField>
    <cacheField name="[Measures].[Average Annual Range %]" caption="Average Annual Range %" numFmtId="0" hierarchy="39" level="32767"/>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0"/>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oneField="1">
      <fieldsUsage count="1">
        <fieldUsage x="1"/>
      </fieldsUsage>
    </cacheHierarchy>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776736109" backgroundQuery="1" createdVersion="7" refreshedVersion="7" minRefreshableVersion="3" recordCount="0" supportSubquery="1" supportAdvancedDrill="1" xr:uid="{1D80CA41-DBB1-47FF-9C44-C6B5F75EEF9F}">
  <cacheSource type="external" connectionId="14"/>
  <cacheFields count="10">
    <cacheField name="[Measures].[Average Opening Price]" caption="Average Opening Price" numFmtId="0" hierarchy="26" level="32767"/>
    <cacheField name="[Measures].[Average Closing Price]" caption="Average Closing Price" numFmtId="0" hierarchy="27" level="32767"/>
    <cacheField name="[Measures].[Average High Price]" caption="Average High Price" numFmtId="0" hierarchy="28" level="32767"/>
    <cacheField name="[Measures].[Average Low Price]" caption="Average Low Price" numFmtId="0" hierarchy="29" level="32767"/>
    <cacheField name="[Measures].[Highest Price]" caption="Highest Price" numFmtId="0" hierarchy="30" level="32767"/>
    <cacheField name="[Measures].[Lowest Price]" caption="Lowest Price" numFmtId="0" hierarchy="31" level="32767"/>
    <cacheField name="[Measures].[Annual Change %]" caption="Annual Change %" numFmtId="0" hierarchy="32" level="32767"/>
    <cacheField name="[All_Commodities].[Commodities].[Commodities]" caption="Commodities" numFmtId="0" hierarchy="2" level="1">
      <sharedItems count="10">
        <s v="Coffee"/>
        <s v="Copper"/>
        <s v="Corn"/>
        <s v="Cotton"/>
        <s v="Lumber"/>
        <s v="Oats"/>
        <s v="Soybean"/>
        <s v="Soybean Oil"/>
        <s v="Sugar"/>
        <s v="Wheat"/>
      </sharedItems>
      <extLst>
        <ext xmlns:x15="http://schemas.microsoft.com/office/spreadsheetml/2010/11/main" uri="{4F2E5C28-24EA-4eb8-9CBF-B6C8F9C3D259}">
          <x15:cachedUniqueNames>
            <x15:cachedUniqueName index="0" name="[All_Commodities].[Commodities].&amp;[Coffee]"/>
            <x15:cachedUniqueName index="1" name="[All_Commodities].[Commodities].&amp;[Copper]"/>
            <x15:cachedUniqueName index="2" name="[All_Commodities].[Commodities].&amp;[Corn]"/>
            <x15:cachedUniqueName index="3" name="[All_Commodities].[Commodities].&amp;[Cotton]"/>
            <x15:cachedUniqueName index="4" name="[All_Commodities].[Commodities].&amp;[Lumber]"/>
            <x15:cachedUniqueName index="5" name="[All_Commodities].[Commodities].&amp;[Oats]"/>
            <x15:cachedUniqueName index="6" name="[All_Commodities].[Commodities].&amp;[Soybean]"/>
            <x15:cachedUniqueName index="7" name="[All_Commodities].[Commodities].&amp;[Soybean Oil]"/>
            <x15:cachedUniqueName index="8" name="[All_Commodities].[Commodities].&amp;[Sugar]"/>
            <x15:cachedUniqueName index="9" name="[All_Commodities].[Commodities].&amp;[Wheat]"/>
          </x15:cachedUniqueNames>
        </ext>
      </extLst>
    </cacheField>
    <cacheField name="[Measures].[Average Commodity Price]" caption="Average Commodity Price" numFmtId="0" hierarchy="38" level="32767"/>
    <cacheField name="[DimYear].[Year].[Year]" caption="Year" numFmtId="0" hierarchy="13"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7"/>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fieldsUsage count="2">
        <fieldUsage x="-1"/>
        <fieldUsage x="9"/>
      </fieldsUsage>
    </cacheHierarchy>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oneField="1">
      <fieldsUsage count="1">
        <fieldUsage x="0"/>
      </fieldsUsage>
    </cacheHierarchy>
    <cacheHierarchy uniqueName="[Measures].[Average Closing Price]" caption="Average Closing Price" measure="1" displayFolder="" measureGroup="All_Commodities" count="0" oneField="1">
      <fieldsUsage count="1">
        <fieldUsage x="1"/>
      </fieldsUsage>
    </cacheHierarchy>
    <cacheHierarchy uniqueName="[Measures].[Average High Price]" caption="Average High Price" measure="1" displayFolder="" measureGroup="All_Commodities" count="0" oneField="1">
      <fieldsUsage count="1">
        <fieldUsage x="2"/>
      </fieldsUsage>
    </cacheHierarchy>
    <cacheHierarchy uniqueName="[Measures].[Average Low Price]" caption="Average Low Price" measure="1" displayFolder="" measureGroup="All_Commodities" count="0" oneField="1">
      <fieldsUsage count="1">
        <fieldUsage x="3"/>
      </fieldsUsage>
    </cacheHierarchy>
    <cacheHierarchy uniqueName="[Measures].[Highest Price]" caption="Highest Price" measure="1" displayFolder="" measureGroup="All_Commodities" count="0" oneField="1">
      <fieldsUsage count="1">
        <fieldUsage x="4"/>
      </fieldsUsage>
    </cacheHierarchy>
    <cacheHierarchy uniqueName="[Measures].[Lowest Price]" caption="Lowest Price" measure="1" displayFolder="" measureGroup="All_Commodities" count="0" oneField="1">
      <fieldsUsage count="1">
        <fieldUsage x="5"/>
      </fieldsUsage>
    </cacheHierarchy>
    <cacheHierarchy uniqueName="[Measures].[Annual Change %]" caption="Annual Change %" measure="1" displayFolder="" measureGroup="All_Commodities" count="0" oneField="1">
      <fieldsUsage count="1">
        <fieldUsage x="6"/>
      </fieldsUsage>
    </cacheHierarchy>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oneField="1">
      <fieldsUsage count="1">
        <fieldUsage x="8"/>
      </fieldsUsage>
    </cacheHierarchy>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829166667" backgroundQuery="1" createdVersion="7" refreshedVersion="7" minRefreshableVersion="3" recordCount="0" supportSubquery="1" supportAdvancedDrill="1" xr:uid="{E39B5B91-376F-4F79-A360-B8CDFC09ED95}">
  <cacheSource type="external" connectionId="14"/>
  <cacheFields count="3">
    <cacheField name="[All_Commodities].[Commodities].[Commodities]" caption="Commodities" numFmtId="0" hierarchy="2" level="1">
      <sharedItems count="5">
        <s v="Corn"/>
        <s v="Lumber"/>
        <s v="Oats"/>
        <s v="Soybean"/>
        <s v="Wheat"/>
      </sharedItems>
      <extLst>
        <ext xmlns:x15="http://schemas.microsoft.com/office/spreadsheetml/2010/11/main" uri="{4F2E5C28-24EA-4eb8-9CBF-B6C8F9C3D259}">
          <x15:cachedUniqueNames>
            <x15:cachedUniqueName index="0" name="[All_Commodities].[Commodities].&amp;[Corn]"/>
            <x15:cachedUniqueName index="1" name="[All_Commodities].[Commodities].&amp;[Lumber]"/>
            <x15:cachedUniqueName index="2" name="[All_Commodities].[Commodities].&amp;[Oats]"/>
            <x15:cachedUniqueName index="3" name="[All_Commodities].[Commodities].&amp;[Soybean]"/>
            <x15:cachedUniqueName index="4" name="[All_Commodities].[Commodities].&amp;[Wheat]"/>
          </x15:cachedUniqueNames>
        </ext>
      </extLst>
    </cacheField>
    <cacheField name="[Measures].[Average Commodity Price]" caption="Average Commodity Price" numFmtId="0" hierarchy="38" level="32767"/>
    <cacheField name="[All_Commodities].[Growth Status].[Growth Status]" caption="Growth Status" numFmtId="0" hierarchy="11"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0"/>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fieldsUsage count="2">
        <fieldUsage x="-1"/>
        <fieldUsage x="2"/>
      </fieldsUsage>
    </cacheHierarchy>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oneField="1">
      <fieldsUsage count="1">
        <fieldUsage x="1"/>
      </fieldsUsage>
    </cacheHierarchy>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829745367" backgroundQuery="1" createdVersion="7" refreshedVersion="7" minRefreshableVersion="3" recordCount="0" supportSubquery="1" supportAdvancedDrill="1" xr:uid="{AC20E76D-8845-40D2-A7FC-3C1451B8668C}">
  <cacheSource type="external" connectionId="14"/>
  <cacheFields count="3">
    <cacheField name="[All_Commodities].[Commodities].[Commodities]" caption="Commodities" numFmtId="0" hierarchy="2" level="1">
      <sharedItems count="5">
        <s v="Coffee"/>
        <s v="Copper"/>
        <s v="Oats"/>
        <s v="Soybean Oil"/>
        <s v="Sugar"/>
      </sharedItems>
      <extLst>
        <ext xmlns:x15="http://schemas.microsoft.com/office/spreadsheetml/2010/11/main" uri="{4F2E5C28-24EA-4eb8-9CBF-B6C8F9C3D259}">
          <x15:cachedUniqueNames>
            <x15:cachedUniqueName index="0" name="[All_Commodities].[Commodities].&amp;[Coffee]"/>
            <x15:cachedUniqueName index="1" name="[All_Commodities].[Commodities].&amp;[Copper]"/>
            <x15:cachedUniqueName index="2" name="[All_Commodities].[Commodities].&amp;[Oats]"/>
            <x15:cachedUniqueName index="3" name="[All_Commodities].[Commodities].&amp;[Soybean Oil]"/>
            <x15:cachedUniqueName index="4" name="[All_Commodities].[Commodities].&amp;[Sugar]"/>
          </x15:cachedUniqueNames>
        </ext>
      </extLst>
    </cacheField>
    <cacheField name="[Measures].[Average Annual Change %]" caption="Average Annual Change %" numFmtId="0" hierarchy="40" level="32767"/>
    <cacheField name="[All_Commodities].[Growth Status].[Growth Status]" caption="Growth Status" numFmtId="0" hierarchy="11"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0"/>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fieldsUsage count="2">
        <fieldUsage x="-1"/>
        <fieldUsage x="2"/>
      </fieldsUsage>
    </cacheHierarchy>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oneField="1">
      <fieldsUsage count="1">
        <fieldUsage x="1"/>
      </fieldsUsage>
    </cacheHierarchy>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849768519" backgroundQuery="1" createdVersion="7" refreshedVersion="7" minRefreshableVersion="3" recordCount="0" supportSubquery="1" supportAdvancedDrill="1" xr:uid="{B865DDD0-DE2E-412B-884A-472EF5044290}">
  <cacheSource type="external" connectionId="14"/>
  <cacheFields count="3">
    <cacheField name="[DimYear].[Year].[Year]" caption="Year" numFmtId="0" hierarchy="13" level="1">
      <sharedItems containsSemiMixedTypes="0" containsString="0" containsNumber="1" containsInteger="1" minValue="2014" maxValue="2024" count="11">
        <n v="2014"/>
        <n v="2015"/>
        <n v="2016"/>
        <n v="2017"/>
        <n v="2018"/>
        <n v="2019"/>
        <n v="2020"/>
        <n v="2021"/>
        <n v="2022"/>
        <n v="2023"/>
        <n v="2024"/>
      </sharedItems>
      <extLst>
        <ext xmlns:x15="http://schemas.microsoft.com/office/spreadsheetml/2010/11/main" uri="{4F2E5C28-24EA-4eb8-9CBF-B6C8F9C3D259}">
          <x15:cachedUniqueNames>
            <x15:cachedUniqueName index="0" name="[DimYear].[Year].&amp;[2014]"/>
            <x15:cachedUniqueName index="1" name="[DimYear].[Year].&amp;[2015]"/>
            <x15:cachedUniqueName index="2" name="[DimYear].[Year].&amp;[2016]"/>
            <x15:cachedUniqueName index="3" name="[DimYear].[Year].&amp;[2017]"/>
            <x15:cachedUniqueName index="4" name="[DimYear].[Year].&amp;[2018]"/>
            <x15:cachedUniqueName index="5" name="[DimYear].[Year].&amp;[2019]"/>
            <x15:cachedUniqueName index="6" name="[DimYear].[Year].&amp;[2020]"/>
            <x15:cachedUniqueName index="7" name="[DimYear].[Year].&amp;[2021]"/>
            <x15:cachedUniqueName index="8" name="[DimYear].[Year].&amp;[2022]"/>
            <x15:cachedUniqueName index="9" name="[DimYear].[Year].&amp;[2023]"/>
            <x15:cachedUniqueName index="10" name="[DimYear].[Year].&amp;[2024]"/>
          </x15:cachedUniqueNames>
        </ext>
      </extLst>
    </cacheField>
    <cacheField name="[Measures].[Average Commodity Price]" caption="Average Commodity Price" numFmtId="0" hierarchy="38"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2"/>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fieldsUsage count="2">
        <fieldUsage x="-1"/>
        <fieldUsage x="0"/>
      </fieldsUsage>
    </cacheHierarchy>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oneField="1">
      <fieldsUsage count="1">
        <fieldUsage x="1"/>
      </fieldsUsage>
    </cacheHierarchy>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850231481" backgroundQuery="1" createdVersion="7" refreshedVersion="7" minRefreshableVersion="3" recordCount="0" supportSubquery="1" supportAdvancedDrill="1" xr:uid="{0011AB69-CD77-4190-B9F9-269C6DA1C752}">
  <cacheSource type="external" connectionId="14"/>
  <cacheFields count="8">
    <cacheField name="[Measures].[Total Commodities]" caption="Total Commodities" numFmtId="0" hierarchy="37" level="32767"/>
    <cacheField name="[Measures].[Total Years]" caption="Total Years" numFmtId="0" hierarchy="44" level="32767"/>
    <cacheField name="[Measures].[Latest Year]" caption="Latest Year" numFmtId="0" hierarchy="41" level="32767"/>
    <cacheField name="[Measures].[Annual Change %]" caption="Annual Change %" numFmtId="0" hierarchy="32" level="32767"/>
    <cacheField name="[Measures].[Average Annual Change %]" caption="Average Annual Change %" numFmtId="0" hierarchy="40" level="32767"/>
    <cacheField name="[Measures].[Growth Years]" caption="Growth Years" numFmtId="0" hierarchy="43" level="32767"/>
    <cacheField name="[Measures].[Decline Years]" caption="Decline Years" numFmtId="0" hierarchy="42"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7"/>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oneField="1">
      <fieldsUsage count="1">
        <fieldUsage x="3"/>
      </fieldsUsage>
    </cacheHierarchy>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oneField="1">
      <fieldsUsage count="1">
        <fieldUsage x="0"/>
      </fieldsUsage>
    </cacheHierarchy>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oneField="1">
      <fieldsUsage count="1">
        <fieldUsage x="4"/>
      </fieldsUsage>
    </cacheHierarchy>
    <cacheHierarchy uniqueName="[Measures].[Latest Year]" caption="Latest Year" measure="1" displayFolder="" measureGroup="All_Commodities" count="0" oneField="1">
      <fieldsUsage count="1">
        <fieldUsage x="2"/>
      </fieldsUsage>
    </cacheHierarchy>
    <cacheHierarchy uniqueName="[Measures].[Decline Years]" caption="Decline Years" measure="1" displayFolder="" measureGroup="All_Commodities" count="0" oneField="1">
      <fieldsUsage count="1">
        <fieldUsage x="6"/>
      </fieldsUsage>
    </cacheHierarchy>
    <cacheHierarchy uniqueName="[Measures].[Growth Years]" caption="Growth Years" measure="1" displayFolder="" measureGroup="All_Commodities" count="0" oneField="1">
      <fieldsUsage count="1">
        <fieldUsage x="5"/>
      </fieldsUsage>
    </cacheHierarchy>
    <cacheHierarchy uniqueName="[Measures].[Total Years]" caption="Total Years" measure="1" displayFolder="" measureGroup="All_Commodities" count="0" oneField="1">
      <fieldsUsage count="1">
        <fieldUsage x="1"/>
      </fieldsUsage>
    </cacheHierarchy>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51.962850578704" backgroundQuery="1" createdVersion="7" refreshedVersion="7" minRefreshableVersion="3" recordCount="0" supportSubquery="1" supportAdvancedDrill="1" xr:uid="{ADDA6C27-8A06-4698-A429-846E3453E8EA}">
  <cacheSource type="external" connectionId="14"/>
  <cacheFields count="3">
    <cacheField name="[Measures].[Growth Years %]" caption="Growth Years %" numFmtId="0" hierarchy="46" level="32767"/>
    <cacheField name="[Measures].[Decline Years %]" caption="Decline Years %" numFmtId="0" hierarchy="45" level="32767"/>
    <cacheField name="[All_Commodities].[Commodities].[Commodities]" caption="Commodities" numFmtId="0" hierarchy="2" level="1">
      <sharedItems containsSemiMixedTypes="0" containsNonDate="0" containsString="0"/>
    </cacheField>
  </cacheFields>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fieldsUsage count="2">
        <fieldUsage x="-1"/>
        <fieldUsage x="2"/>
      </fieldsUsage>
    </cacheHierarchy>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oneField="1">
      <fieldsUsage count="1">
        <fieldUsage x="1"/>
      </fieldsUsage>
    </cacheHierarchy>
    <cacheHierarchy uniqueName="[Measures].[Growth Years %]" caption="Growth Years %" measure="1" displayFolder="" measureGroup="All_Commodities" count="0" oneField="1">
      <fieldsUsage count="1">
        <fieldUsage x="0"/>
      </fieldsUsage>
    </cacheHierarchy>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dimensions count="4">
    <dimension name="A" uniqueName="[A]" caption="A"/>
    <dimension name="All_Commodities" uniqueName="[All_Commodities]" caption="All_Commodities"/>
    <dimension name="DimYear" uniqueName="[DimYear]" caption="DimYear"/>
    <dimension measure="1" name="Measures" uniqueName="[Measures]" caption="Measures"/>
  </dimensions>
  <measureGroups count="3">
    <measureGroup name="A" caption="A"/>
    <measureGroup name="All_Commodities" caption="All_Commodities"/>
    <measureGroup name="DimYear" caption="DimYear"/>
  </measureGroups>
  <maps count="4">
    <map measureGroup="0"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26967593" backgroundQuery="1" createdVersion="3" refreshedVersion="7" minRefreshableVersion="3" recordCount="0" supportSubquery="1" supportAdvancedDrill="1" xr:uid="{FAD8A36B-12C5-4030-86C9-7C763ED605CE}">
  <cacheSource type="external" connectionId="14">
    <extLst>
      <ext xmlns:x14="http://schemas.microsoft.com/office/spreadsheetml/2009/9/main" uri="{F057638F-6D5F-4e77-A914-E7F072B9BCA8}">
        <x14:sourceConnection name="ThisWorkbookDataModel"/>
      </ext>
    </extLst>
  </cacheSource>
  <cacheFields count="0"/>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485656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36111114" backgroundQuery="1" createdVersion="3" refreshedVersion="7" minRefreshableVersion="3" recordCount="0" supportSubquery="1" supportAdvancedDrill="1" xr:uid="{C19D4F72-67EE-46D5-BA70-A299497F5B7A}">
  <cacheSource type="external" connectionId="14">
    <extLst>
      <ext xmlns:x14="http://schemas.microsoft.com/office/spreadsheetml/2009/9/main" uri="{F057638F-6D5F-4e77-A914-E7F072B9BCA8}">
        <x14:sourceConnection name="ThisWorkbookDataModel"/>
      </ext>
    </extLst>
  </cacheSource>
  <cacheFields count="0"/>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2"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2"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2698298"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ad Ali" refreshedDate="46248.848347106483" backgroundQuery="1" createdVersion="3" refreshedVersion="7" minRefreshableVersion="3" recordCount="0" supportSubquery="1" supportAdvancedDrill="1" xr:uid="{91EF6D83-A047-4433-BB9E-CBC196AE14FB}">
  <cacheSource type="external" connectionId="14">
    <extLst>
      <ext xmlns:x14="http://schemas.microsoft.com/office/spreadsheetml/2009/9/main" uri="{F057638F-6D5F-4e77-A914-E7F072B9BCA8}">
        <x14:sourceConnection name="ThisWorkbookDataModel"/>
      </ext>
    </extLst>
  </cacheSource>
  <cacheFields count="0"/>
  <cacheHierarchies count="54">
    <cacheHierarchy uniqueName="[A].[Measures]" caption="Measures" attribute="1" defaultMemberUniqueName="[A].[Measures].[All]" allUniqueName="[A].[Measures].[All]" dimensionUniqueName="[A]" displayFolder="" count="0" memberValueDatatype="130" unbalanced="0"/>
    <cacheHierarchy uniqueName="[All_Commodities].[Id]" caption="Id" attribute="1" defaultMemberUniqueName="[All_Commodities].[Id].[All]" allUniqueName="[All_Commodities].[Id].[All]" dimensionUniqueName="[All_Commodities]" displayFolder="" count="0" memberValueDatatype="130" unbalanced="0"/>
    <cacheHierarchy uniqueName="[All_Commodities].[Commodities]" caption="Commodities" attribute="1" defaultMemberUniqueName="[All_Commodities].[Commodities].[All]" allUniqueName="[All_Commodities].[Commodities].[All]" dimensionUniqueName="[All_Commodities]" displayFolder="" count="2" memberValueDatatype="130" unbalanced="0"/>
    <cacheHierarchy uniqueName="[All_Commodities].[Year]" caption="Year" attribute="1" defaultMemberUniqueName="[All_Commodities].[Year].[All]" allUniqueName="[All_Commodities].[Year].[All]" dimensionUniqueName="[All_Commodities]" displayFolder="" count="0" memberValueDatatype="20" unbalanced="0"/>
    <cacheHierarchy uniqueName="[All_Commodities].[Average_Closing_price]" caption="Average_Closing_price" attribute="1" defaultMemberUniqueName="[All_Commodities].[Average_Closing_price].[All]" allUniqueName="[All_Commodities].[Average_Closing_price].[All]" dimensionUniqueName="[All_Commodities]" displayFolder="" count="0" memberValueDatatype="5" unbalanced="0"/>
    <cacheHierarchy uniqueName="[All_Commodities].[Year_Open]" caption="Year_Open" attribute="1" defaultMemberUniqueName="[All_Commodities].[Year_Open].[All]" allUniqueName="[All_Commodities].[Year_Open].[All]" dimensionUniqueName="[All_Commodities]" displayFolder="" count="0" memberValueDatatype="5" unbalanced="0"/>
    <cacheHierarchy uniqueName="[All_Commodities].[Year_High]" caption="Year_High" attribute="1" defaultMemberUniqueName="[All_Commodities].[Year_High].[All]" allUniqueName="[All_Commodities].[Year_High].[All]" dimensionUniqueName="[All_Commodities]" displayFolder="" count="0" memberValueDatatype="5" unbalanced="0"/>
    <cacheHierarchy uniqueName="[All_Commodities].[Year_Low]" caption="Year_Low" attribute="1" defaultMemberUniqueName="[All_Commodities].[Year_Low].[All]" allUniqueName="[All_Commodities].[Year_Low].[All]" dimensionUniqueName="[All_Commodities]" displayFolder="" count="0" memberValueDatatype="5" unbalanced="0"/>
    <cacheHierarchy uniqueName="[All_Commodities].[Year_Close]" caption="Year_Close" attribute="1" defaultMemberUniqueName="[All_Commodities].[Year_Close].[All]" allUniqueName="[All_Commodities].[Year_Close].[All]" dimensionUniqueName="[All_Commodities]" displayFolder="" count="0" memberValueDatatype="5" unbalanced="0"/>
    <cacheHierarchy uniqueName="[All_Commodities].[Annual_Change]" caption="Annual_Change" attribute="1" defaultMemberUniqueName="[All_Commodities].[Annual_Change].[All]" allUniqueName="[All_Commodities].[Annual_Change].[All]" dimensionUniqueName="[All_Commodities]" displayFolder="" count="0" memberValueDatatype="5" unbalanced="0"/>
    <cacheHierarchy uniqueName="[All_Commodities].[Average OHLC]" caption="Average OHLC" attribute="1" defaultMemberUniqueName="[All_Commodities].[Average OHLC].[All]" allUniqueName="[All_Commodities].[Average OHLC].[All]" dimensionUniqueName="[All_Commodities]" displayFolder="" count="0" memberValueDatatype="5" unbalanced="0"/>
    <cacheHierarchy uniqueName="[All_Commodities].[Growth Status]" caption="Growth Status" attribute="1" defaultMemberUniqueName="[All_Commodities].[Growth Status].[All]" allUniqueName="[All_Commodities].[Growth Status].[All]" dimensionUniqueName="[All_Commodities]" displayFolder="" count="0" memberValueDatatype="130" unbalanced="0"/>
    <cacheHierarchy uniqueName="[All_Commodities].[Annual Range %]" caption="Annual Range %" attribute="1" defaultMemberUniqueName="[All_Commodities].[Annual Range %].[All]" allUniqueName="[All_Commodities].[Annual Range %].[All]" dimensionUniqueName="[All_Commodities]" displayFolder="" count="0" memberValueDatatype="5" unbalanced="0"/>
    <cacheHierarchy uniqueName="[DimYear].[Year]" caption="Year" attribute="1" defaultMemberUniqueName="[DimYear].[Year].[All]" allUniqueName="[DimYear].[Year].[All]" dimensionUniqueName="[DimYear]" displayFolder="" count="0" memberValueDatatype="20" unbalanced="0"/>
    <cacheHierarchy uniqueName="[DimYear].[Id]" caption="Id" attribute="1" defaultMemberUniqueName="[DimYear].[Id].[All]" allUniqueName="[DimYear].[Id].[All]" dimensionUniqueName="[DimYear]" displayFolder="" count="0" memberValueDatatype="20" unbalanced="0"/>
    <cacheHierarchy uniqueName="[Measures].[Sum of Annual_Change]" caption="Sum of Annual_Change" measure="1" displayFolder="" measureGroup="All_Commodities" count="0">
      <extLst>
        <ext xmlns:x15="http://schemas.microsoft.com/office/spreadsheetml/2010/11/main" uri="{B97F6D7D-B522-45F9-BDA1-12C45D357490}">
          <x15:cacheHierarchy aggregatedColumn="9"/>
        </ext>
      </extLst>
    </cacheHierarchy>
    <cacheHierarchy uniqueName="[Measures].[Sum of Average OHLC]" caption="Sum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verage OHLC]" caption="Average of Average OHLC" measure="1" displayFolder="" measureGroup="All_Commodities" count="0">
      <extLst>
        <ext xmlns:x15="http://schemas.microsoft.com/office/spreadsheetml/2010/11/main" uri="{B97F6D7D-B522-45F9-BDA1-12C45D357490}">
          <x15:cacheHierarchy aggregatedColumn="10"/>
        </ext>
      </extLst>
    </cacheHierarchy>
    <cacheHierarchy uniqueName="[Measures].[Count of Growth Status]" caption="Count of Growth Status" measure="1" displayFolder="" measureGroup="All_Commodities" count="0">
      <extLst>
        <ext xmlns:x15="http://schemas.microsoft.com/office/spreadsheetml/2010/11/main" uri="{B97F6D7D-B522-45F9-BDA1-12C45D357490}">
          <x15:cacheHierarchy aggregatedColumn="11"/>
        </ext>
      </extLst>
    </cacheHierarchy>
    <cacheHierarchy uniqueName="[Measures].[Sum of Year]" caption="Sum of Year" measure="1" displayFolder="" measureGroup="DimYear" count="0">
      <extLst>
        <ext xmlns:x15="http://schemas.microsoft.com/office/spreadsheetml/2010/11/main" uri="{B97F6D7D-B522-45F9-BDA1-12C45D357490}">
          <x15:cacheHierarchy aggregatedColumn="13"/>
        </ext>
      </extLst>
    </cacheHierarchy>
    <cacheHierarchy uniqueName="[Measures].[Count of Year]" caption="Count of Year" measure="1" displayFolder="" measureGroup="DimYear" count="0">
      <extLst>
        <ext xmlns:x15="http://schemas.microsoft.com/office/spreadsheetml/2010/11/main" uri="{B97F6D7D-B522-45F9-BDA1-12C45D357490}">
          <x15:cacheHierarchy aggregatedColumn="13"/>
        </ext>
      </extLst>
    </cacheHierarchy>
    <cacheHierarchy uniqueName="[Measures].[Sum of Year 2]" caption="Sum of Year 2" measure="1" displayFolder="" measureGroup="All_Commodities" count="0">
      <extLst>
        <ext xmlns:x15="http://schemas.microsoft.com/office/spreadsheetml/2010/11/main" uri="{B97F6D7D-B522-45F9-BDA1-12C45D357490}">
          <x15:cacheHierarchy aggregatedColumn="3"/>
        </ext>
      </extLst>
    </cacheHierarchy>
    <cacheHierarchy uniqueName="[Measures].[Count of Year 2]" caption="Count of Year 2" measure="1" displayFolder="" measureGroup="All_Commodities" count="0">
      <extLst>
        <ext xmlns:x15="http://schemas.microsoft.com/office/spreadsheetml/2010/11/main" uri="{B97F6D7D-B522-45F9-BDA1-12C45D357490}">
          <x15:cacheHierarchy aggregatedColumn="3"/>
        </ext>
      </extLst>
    </cacheHierarchy>
    <cacheHierarchy uniqueName="[Measures].[Distinct Count of Year]" caption="Distinct Count of Year" measure="1" displayFolder="" measureGroup="All_Commodities" count="0">
      <extLst>
        <ext xmlns:x15="http://schemas.microsoft.com/office/spreadsheetml/2010/11/main" uri="{B97F6D7D-B522-45F9-BDA1-12C45D357490}">
          <x15:cacheHierarchy aggregatedColumn="3"/>
        </ext>
      </extLst>
    </cacheHierarchy>
    <cacheHierarchy uniqueName="[Measures].[Count of Average OHLC]" caption="Count of Average OHLC" measure="1" displayFolder="" measureGroup="All_Commodities" count="0">
      <extLst>
        <ext xmlns:x15="http://schemas.microsoft.com/office/spreadsheetml/2010/11/main" uri="{B97F6D7D-B522-45F9-BDA1-12C45D357490}">
          <x15:cacheHierarchy aggregatedColumn="10"/>
        </ext>
      </extLst>
    </cacheHierarchy>
    <cacheHierarchy uniqueName="[Measures].[Average of Annual_Change]" caption="Average of Annual_Change" measure="1" displayFolder="" measureGroup="All_Commodities" count="0">
      <extLst>
        <ext xmlns:x15="http://schemas.microsoft.com/office/spreadsheetml/2010/11/main" uri="{B97F6D7D-B522-45F9-BDA1-12C45D357490}">
          <x15:cacheHierarchy aggregatedColumn="9"/>
        </ext>
      </extLst>
    </cacheHierarchy>
    <cacheHierarchy uniqueName="[Measures].[Average Opening Price]" caption="Average Opening Price" measure="1" displayFolder="" measureGroup="All_Commodities" count="0"/>
    <cacheHierarchy uniqueName="[Measures].[Average Closing Price]" caption="Average Closing Price" measure="1" displayFolder="" measureGroup="All_Commodities" count="0"/>
    <cacheHierarchy uniqueName="[Measures].[Average High Price]" caption="Average High Price" measure="1" displayFolder="" measureGroup="All_Commodities" count="0"/>
    <cacheHierarchy uniqueName="[Measures].[Average Low Price]" caption="Average Low Price" measure="1" displayFolder="" measureGroup="All_Commodities" count="0"/>
    <cacheHierarchy uniqueName="[Measures].[Highest Price]" caption="Highest Price" measure="1" displayFolder="" measureGroup="All_Commodities" count="0"/>
    <cacheHierarchy uniqueName="[Measures].[Lowest Price]" caption="Lowest Price" measure="1" displayFolder="" measureGroup="All_Commodities" count="0"/>
    <cacheHierarchy uniqueName="[Measures].[Annual Change %]" caption="Annual Change %" measure="1" displayFolder="" measureGroup="All_Commodities" count="0"/>
    <cacheHierarchy uniqueName="[Measures].[Best Performing Year]" caption="Best Performing Year" measure="1" displayFolder="" measureGroup="All_Commodities" count="0"/>
    <cacheHierarchy uniqueName="[Measures].[Worst Performing Year]" caption="Worst Performing Year" measure="1" displayFolder="" measureGroup="All_Commodities" count="0"/>
    <cacheHierarchy uniqueName="[Measures].[Best Performing Year %]" caption="Best Performing Year %" measure="1" displayFolder="" measureGroup="All_Commodities" count="0"/>
    <cacheHierarchy uniqueName="[Measures].[Worst Performing Year %]" caption="Worst Performing Year %" measure="1" displayFolder="" measureGroup="All_Commodities" count="0"/>
    <cacheHierarchy uniqueName="[Measures].[Total Commodities]" caption="Total Commodities" measure="1" displayFolder="" measureGroup="All_Commodities" count="0"/>
    <cacheHierarchy uniqueName="[Measures].[Average Commodity Price]" caption="Average Commodity Price" measure="1" displayFolder="" measureGroup="All_Commodities" count="0"/>
    <cacheHierarchy uniqueName="[Measures].[Average Annual Range %]" caption="Average Annual Range %" measure="1" displayFolder="" measureGroup="All_Commodities" count="0"/>
    <cacheHierarchy uniqueName="[Measures].[Average Annual Change %]" caption="Average Annual Change %" measure="1" displayFolder="" measureGroup="All_Commodities" count="0"/>
    <cacheHierarchy uniqueName="[Measures].[Latest Year]" caption="Latest Year" measure="1" displayFolder="" measureGroup="All_Commodities" count="0"/>
    <cacheHierarchy uniqueName="[Measures].[Decline Years]" caption="Decline Years" measure="1" displayFolder="" measureGroup="All_Commodities" count="0"/>
    <cacheHierarchy uniqueName="[Measures].[Growth Years]" caption="Growth Years" measure="1" displayFolder="" measureGroup="All_Commodities" count="0"/>
    <cacheHierarchy uniqueName="[Measures].[Total Years]" caption="Total Years" measure="1" displayFolder="" measureGroup="All_Commodities" count="0"/>
    <cacheHierarchy uniqueName="[Measures].[Decline Years %]" caption="Decline Years %" measure="1" displayFolder="" measureGroup="All_Commodities" count="0"/>
    <cacheHierarchy uniqueName="[Measures].[Growth Years %]" caption="Growth Years %" measure="1" displayFolder="" measureGroup="All_Commodities" count="0"/>
    <cacheHierarchy uniqueName="[Measures].[Risk Level]" caption="Risk Level" measure="1" displayFolder="" measureGroup="All_Commodities" count="0"/>
    <cacheHierarchy uniqueName="[Measures].[Worst Decline]" caption="Worst Decline" measure="1" displayFolder="" measureGroup="All_Commodities" count="0"/>
    <cacheHierarchy uniqueName="[Measures].[Strongest Growth]" caption="Strongest Growth" measure="1" displayFolder="" measureGroup="All_Commodities" count="0"/>
    <cacheHierarchy uniqueName="[Measures].[__XL_Count A]" caption="__XL_Count A" measure="1" displayFolder="" measureGroup="A" count="0" hidden="1"/>
    <cacheHierarchy uniqueName="[Measures].[__XL_Count DimYear]" caption="__XL_Count DimYear" measure="1" displayFolder="" measureGroup="DimYear" count="0" hidden="1"/>
    <cacheHierarchy uniqueName="[Measures].[__XL_Count All_Commodities]" caption="__XL_Count All_Commodities" measure="1" displayFolder="" measureGroup="All_Commoditi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630124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7154B0-6A7A-49FD-9FD7-CC75E891F039}" name="PivotTable13" cacheId="2" applyNumberFormats="0" applyBorderFormats="0" applyFontFormats="0" applyPatternFormats="0" applyAlignmentFormats="0" applyWidthHeightFormats="1" dataCaption="Values" tag="0f87cde9-3718-4d36-91bc-25a41b3d71a9" updatedVersion="7" minRefreshableVersion="3" useAutoFormatting="1" itemPrintTitles="1" createdVersion="7" indent="0" outline="1" outlineData="1" multipleFieldFilters="0" chartFormat="6">
  <location ref="H28:I40" firstHeaderRow="1" firstDataRow="1" firstDataCol="1"/>
  <pivotFields count="3">
    <pivotField axis="axisRow" allDrilled="1" subtotalTop="0" showAll="0" dataSourceSort="1" defaultSubtotal="0" defaultAttributeDrillState="1">
      <items count="11">
        <item s="1" x="0"/>
        <item s="1" x="1"/>
        <item s="1" x="2"/>
        <item s="1" x="3"/>
        <item s="1" x="4"/>
        <item s="1" x="5"/>
        <item s="1" x="6"/>
        <item s="1" x="7"/>
        <item s="1" x="8"/>
        <item s="1" x="9"/>
        <item s="1"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Year]"/>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3119F8-3DA9-47F7-91D9-3B90805938AE}" name="PivotTable9" cacheId="1" applyNumberFormats="0" applyBorderFormats="0" applyFontFormats="0" applyPatternFormats="0" applyAlignmentFormats="0" applyWidthHeightFormats="1" dataCaption="Values" tag="3f7accbc-1d01-4ef5-812e-86425aa0288b" updatedVersion="7" minRefreshableVersion="3" useAutoFormatting="1" subtotalHiddenItems="1" itemPrintTitles="1" createdVersion="7"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3" subtotal="count" baseField="0" baseItem="0"/>
    <dataField name="Best Year %" fld="1" subtotal="count" baseField="0" baseItem="0"/>
    <dataField name="Worst Year" fld="0" subtotal="count" baseField="0" baseItem="0"/>
    <dataField name="Worst Year %" fld="2" subtotal="count"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Best Year"/>
    <pivotHierarchy dragToRow="0" dragToCol="0" dragToPage="0" dragToData="1" caption="Worst Year"/>
    <pivotHierarchy dragToRow="0" dragToCol="0" dragToPage="0" dragToData="1" caption="Best Year %"/>
    <pivotHierarchy dragToRow="0" dragToCol="0" dragToPage="0" dragToData="1" caption="Worst Year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FDB43-CB7B-4FE2-BEF4-140455A404A4}" name="PivotTable10" cacheId="0" applyNumberFormats="0" applyBorderFormats="0" applyFontFormats="0" applyPatternFormats="0" applyAlignmentFormats="0" applyWidthHeightFormats="1" dataCaption="Values" tag="e5aa2162-ecb1-49d5-8940-9485410542ad" updatedVersion="7" minRefreshableVersion="3" useAutoFormatting="1" subtotalHiddenItems="1" rowGrandTotals="0" colGrandTotals="0" itemPrintTitles="1" createdVersion="7" indent="0" outline="1" outlineData="1" multipleFieldFilters="0" chartFormat="45" rowHeaderCaption="Commodities">
  <location ref="A2: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0">
    <i>
      <x v="8"/>
    </i>
    <i>
      <x/>
    </i>
    <i>
      <x v="4"/>
    </i>
    <i>
      <x v="5"/>
    </i>
    <i>
      <x v="3"/>
    </i>
    <i>
      <x v="7"/>
    </i>
    <i>
      <x v="1"/>
    </i>
    <i>
      <x v="9"/>
    </i>
    <i>
      <x v="6"/>
    </i>
    <i>
      <x v="2"/>
    </i>
  </rowItems>
  <colFields count="1">
    <field x="-2"/>
  </colFields>
  <colItems count="2">
    <i>
      <x/>
    </i>
    <i i="1">
      <x v="1"/>
    </i>
  </colItems>
  <dataFields count="2">
    <dataField fld="1" subtotal="count" baseField="0" baseItem="0"/>
    <dataField fld="2"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C08CC8-B78F-4B7B-9152-E51BF972765E}" name="PivotTable8" cacheId="5" applyNumberFormats="0" applyBorderFormats="0" applyFontFormats="0" applyPatternFormats="0" applyAlignmentFormats="0" applyWidthHeightFormats="1" dataCaption="Values" tag="7f288476-d7e8-4522-ace2-80923364c092" updatedVersion="7" minRefreshableVersion="3" useAutoFormatting="1" subtotalHiddenItems="1" itemPrintTitles="1" createdVersion="7" indent="0" outline="1" outlineData="1" multipleFieldFilters="0" chartFormat="4">
  <location ref="A3:B5"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936CA5-1823-4CCE-9AE2-7B3B1DC3B2B6}" name="PivotTable3" cacheId="3" applyNumberFormats="0" applyBorderFormats="0" applyFontFormats="0" applyPatternFormats="0" applyAlignmentFormats="0" applyWidthHeightFormats="1" dataCaption="Values" tag="2c7d1844-52b3-44b2-8218-65892b1e2db5" updatedVersion="7" minRefreshableVersion="3" useAutoFormatting="1" subtotalHiddenItems="1" itemPrintTitles="1" createdVersion="7" indent="0" outline="1" outlineData="1" multipleFieldFilters="0" chartFormat="4">
  <location ref="A1:E67" firstHeaderRow="0" firstDataRow="1" firstDataCol="1"/>
  <pivotFields count="6">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Hierarchies count="54">
    <pivotHierarchy dragToData="1"/>
    <pivotHierarchy dragToData="1"/>
    <pivotHierarchy multipleItemSelectionAllowed="1" dragToData="1">
      <members count="1" level="1">
        <member name="[All_Commodities].[Commodities].&amp;[Copper]"/>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Year]"/>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808466-3D43-4A27-8DAB-114A95AD7D69}" name="PivotTable12" cacheId="6" applyNumberFormats="0" applyBorderFormats="0" applyFontFormats="0" applyPatternFormats="0" applyAlignmentFormats="0" applyWidthHeightFormats="1" dataCaption="Values" tag="dc43a26f-cfb7-45be-8e99-a72ab0738eae" updatedVersion="7" minRefreshableVersion="3" useAutoFormatting="1" subtotalHiddenItems="1" itemPrintTitles="1" createdVersion="7" indent="0" outline="1" outlineData="1" multipleFieldFilters="0" rowHeaderCaption="Commodity">
  <location ref="A12:I23" firstHeaderRow="0" firstDataRow="1" firstDataCol="1"/>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7"/>
  </rowFields>
  <rowItems count="11">
    <i>
      <x/>
    </i>
    <i>
      <x v="1"/>
    </i>
    <i>
      <x v="2"/>
    </i>
    <i>
      <x v="3"/>
    </i>
    <i>
      <x v="4"/>
    </i>
    <i>
      <x v="5"/>
    </i>
    <i>
      <x v="6"/>
    </i>
    <i>
      <x v="7"/>
    </i>
    <i>
      <x v="8"/>
    </i>
    <i>
      <x v="9"/>
    </i>
    <i t="grand">
      <x/>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8" subtotal="count" baseField="0" baseItem="0"/>
    <dataField fld="6" subtotal="count" baseField="0" baseItem="0"/>
  </dataFields>
  <formats count="4">
    <format dxfId="14">
      <pivotArea type="all" dataOnly="0" outline="0" fieldPosition="0"/>
    </format>
    <format dxfId="13">
      <pivotArea dataOnly="0" labelOnly="1" grandRow="1" outline="0" fieldPosition="0"/>
    </format>
    <format dxfId="12">
      <pivotArea type="all" dataOnly="0" outline="0" fieldPosition="0"/>
    </format>
    <format dxfId="11">
      <pivotArea dataOnly="0" labelOnly="1" grandRow="1" outline="0" fieldPosition="0"/>
    </format>
  </formats>
  <pivotHierarchies count="5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Average of Average OHLC"/>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BF3B39-47F4-415C-8FDB-E0E0A0485997}" name="PivotTable10" cacheId="8" applyNumberFormats="0" applyBorderFormats="0" applyFontFormats="0" applyPatternFormats="0" applyAlignmentFormats="0" applyWidthHeightFormats="1" dataCaption="Values" tag="777a3c3d-505c-4565-a6a5-947f378a96ce" updatedVersion="7" minRefreshableVersion="3" useAutoFormatting="1" itemPrintTitles="1" createdVersion="7" indent="0" outline="1" outlineData="1" multipleFieldFilters="0" chartFormat="4" rowHeaderCaption="Commodities">
  <location ref="F1:G7" firstHeaderRow="1" firstDataRow="1" firstDataCol="1"/>
  <pivotFields count="3">
    <pivotField name="Commodities"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1"/>
    </i>
    <i>
      <x v="3"/>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caption="Commodities"/>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C7D8DE-FB21-4ABC-86CB-3C63455AADFF}" name="PivotTable9" cacheId="7" applyNumberFormats="0" applyBorderFormats="0" applyFontFormats="0" applyPatternFormats="0" applyAlignmentFormats="0" applyWidthHeightFormats="1" dataCaption="Values" tag="89d95564-3b0b-48dd-81a7-bb52ff148a1a" updatedVersion="7" minRefreshableVersion="3" useAutoFormatting="1" itemPrintTitles="1" createdVersion="7" indent="0" outline="1" outlineData="1" multipleFieldFilters="0" chartFormat="4">
  <location ref="A1:B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4B4DF-1C7F-42E5-AA52-ADCC6AA19205}" name="PivotTable2" cacheId="10" applyNumberFormats="0" applyBorderFormats="0" applyFontFormats="0" applyPatternFormats="0" applyAlignmentFormats="0" applyWidthHeightFormats="1" dataCaption="Values" tag="10934e4e-c388-4112-b08d-0853ef07814b" updatedVersion="7" minRefreshableVersion="3" useAutoFormatting="1" subtotalHiddenItems="1" itemPrintTitles="1" createdVersion="7" indent="0" outline="1" outlineData="1" multipleFieldFilters="0">
  <location ref="A7:G8"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4DDBF4-B7DC-4922-AF99-DDB0307A5B89}" name="PivotTable4" cacheId="4" applyNumberFormats="0" applyBorderFormats="0" applyFontFormats="0" applyPatternFormats="0" applyAlignmentFormats="0" applyWidthHeightFormats="1" dataCaption="Values" tag="531571ac-291c-4b4d-ae95-314964917c85" updatedVersion="7" minRefreshableVersion="3" useAutoFormatting="1" subtotalHiddenItems="1" itemPrintTitles="1" createdVersion="7" indent="0" outline="1" outlineData="1" multipleFieldFilters="0">
  <location ref="A2:I3"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dataField fld="5" subtotal="count" baseField="0" baseItem="0"/>
    <dataField fld="4" subtotal="count" baseField="0" baseItem="0"/>
    <dataField name="Average Annual Price Range %" fld="6" subtotal="count" baseField="0" baseItem="6"/>
    <dataField fld="7" subtotal="count" baseField="0" baseItem="0"/>
    <dataField fld="8" subtotal="count" baseField="0" baseItem="0"/>
  </dataFields>
  <pivotHierarchies count="54">
    <pivotHierarchy dragToData="1"/>
    <pivotHierarchy dragToData="1"/>
    <pivotHierarchy multipleItemSelectionAllowed="1" dragToData="1">
      <members count="1" level="1">
        <member name="[All_Commodities].[Commodities].&amp;[Copper]"/>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Annual Price Rang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activeTabTopLevelEntity name="[Dim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4BE53E-AA0E-43CB-A1EE-C831471ADB9E}" name="PivotTable2" cacheId="9" applyNumberFormats="0" applyBorderFormats="0" applyFontFormats="0" applyPatternFormats="0" applyAlignmentFormats="0" applyWidthHeightFormats="1" dataCaption="Values" tag="b76a8717-26d8-472e-a8da-a4f01cd6f878" updatedVersion="7" minRefreshableVersion="3" useAutoFormatting="1" subtotalHiddenItems="1" itemPrintTitles="1" createdVersion="7" indent="0" outline="1" outlineData="1" multipleFieldFilters="0" chartFormat="13" rowHeaderCaption="Year">
  <location ref="A1:B13"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fld="1" subtotal="count"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aptionGreaterThan" evalOrder="-1" id="6" stringValue1="2013">
      <autoFilter ref="A1">
        <filterColumn colId="0">
          <customFilters>
            <customFilter operator="greaterThan" val="2013"/>
          </customFilters>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Year]"/>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141BC5-6BDA-4402-B6D0-B6C3436108E3}" name="PivotTable1" cacheId="11" applyNumberFormats="0" applyBorderFormats="0" applyFontFormats="0" applyPatternFormats="0" applyAlignmentFormats="0" applyWidthHeightFormats="1" dataCaption="Values" tag="3aa5b591-2573-4f39-9743-dbb51b878a5b" updatedVersion="7" minRefreshableVersion="3" useAutoFormatting="1" subtotalHiddenItems="1" itemPrintTitles="1" createdVersion="7" indent="0" outline="1" outlineData="1" multipleFieldFilters="0" chartFormat="4">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Commoditi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1" xr16:uid="{BDC25B5D-9DE6-4AD7-805A-7703FAFCC7F7}" autoFormatId="16" applyNumberFormats="0" applyBorderFormats="0" applyFontFormats="0" applyPatternFormats="0" applyAlignmentFormats="0" applyWidthHeightFormats="0">
  <queryTableRefresh nextId="22">
    <queryTableFields count="12">
      <queryTableField id="12" name="Id" tableColumnId="10"/>
      <queryTableField id="18" name="Commodities" tableColumnId="2"/>
      <queryTableField id="3" name="Year" tableColumnId="3"/>
      <queryTableField id="4" name="Average_Closing_price" tableColumnId="4"/>
      <queryTableField id="5" name="Year_Open" tableColumnId="5"/>
      <queryTableField id="6" name="Year_High" tableColumnId="6"/>
      <queryTableField id="7" name="Year_Low" tableColumnId="7"/>
      <queryTableField id="8" name="Year_Close" tableColumnId="8"/>
      <queryTableField id="9" name="Annual_Change" tableColumnId="9"/>
      <queryTableField id="14" name="Average OHLC" tableColumnId="11"/>
      <queryTableField id="15" name="Growth Status" tableColumnId="1"/>
      <queryTableField id="17" name="Annual Range %"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6" xr16:uid="{6B207395-579D-45B9-9F02-C0431E88008A}" autoFormatId="16" applyNumberFormats="0" applyBorderFormats="0" applyFontFormats="0" applyPatternFormats="0" applyAlignmentFormats="0" applyWidthHeightFormats="0">
  <queryTableRefresh nextId="6">
    <queryTableFields count="2">
      <queryTableField id="1" name="Year" tableColumnId="1"/>
      <queryTableField id="3" name="I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41622D-0A99-4AA9-9A98-E65E53CC8B0F}" sourceName="[DimYear].[Year]">
  <pivotTables>
    <pivotTable tabId="30" name="PivotTable12"/>
    <pivotTable tabId="35" name="PivotTable9"/>
    <pivotTable tabId="35" name="PivotTable10"/>
    <pivotTable tabId="33" name="PivotTable2"/>
    <pivotTable tabId="34" name="PivotTable1"/>
  </pivotTables>
  <data>
    <olap pivotCacheId="904856561">
      <levels count="2">
        <level uniqueName="[DimYear].[Year].[(All)]" sourceCaption="(All)" count="0"/>
        <level uniqueName="[DimYear].[Year].[Year]" sourceCaption="Year" count="65">
          <ranges>
            <range startItem="0">
              <i n="[DimYear].[Year].&amp;[1960]" c="1960"/>
              <i n="[DimYear].[Year].&amp;[1961]" c="1961"/>
              <i n="[DimYear].[Year].&amp;[1962]" c="1962"/>
              <i n="[DimYear].[Year].&amp;[1963]" c="1963"/>
              <i n="[DimYear].[Year].&amp;[1964]" c="1964"/>
              <i n="[DimYear].[Year].&amp;[1965]" c="1965"/>
              <i n="[DimYear].[Year].&amp;[1966]" c="1966"/>
              <i n="[DimYear].[Year].&amp;[1967]" c="1967"/>
              <i n="[DimYear].[Year].&amp;[1968]" c="1968"/>
              <i n="[DimYear].[Year].&amp;[1969]" c="1969"/>
              <i n="[DimYear].[Year].&amp;[1970]" c="1970"/>
              <i n="[DimYear].[Year].&amp;[1971]" c="1971"/>
              <i n="[DimYear].[Year].&amp;[1972]" c="1972"/>
              <i n="[DimYear].[Year].&amp;[1973]" c="1973"/>
              <i n="[DimYear].[Year].&amp;[1974]" c="1974"/>
              <i n="[DimYear].[Year].&amp;[1975]" c="1975"/>
              <i n="[DimYear].[Year].&amp;[1976]" c="1976"/>
              <i n="[DimYear].[Year].&amp;[1977]" c="1977"/>
              <i n="[DimYear].[Year].&amp;[1978]" c="1978"/>
              <i n="[DimYear].[Year].&amp;[1979]" c="1979"/>
              <i n="[DimYear].[Year].&amp;[1980]" c="1980"/>
              <i n="[DimYear].[Year].&amp;[1981]" c="1981"/>
              <i n="[DimYear].[Year].&amp;[1982]" c="1982"/>
              <i n="[DimYear].[Year].&amp;[1983]" c="1983"/>
              <i n="[DimYear].[Year].&amp;[1984]" c="1984"/>
              <i n="[DimYear].[Year].&amp;[1985]" c="1985"/>
              <i n="[DimYear].[Year].&amp;[1986]" c="1986"/>
              <i n="[DimYear].[Year].&amp;[1987]" c="1987"/>
              <i n="[DimYear].[Year].&amp;[1988]" c="1988"/>
              <i n="[DimYear].[Year].&amp;[1989]" c="1989"/>
              <i n="[DimYear].[Year].&amp;[1990]" c="1990"/>
              <i n="[DimYear].[Year].&amp;[1991]" c="1991"/>
              <i n="[DimYear].[Year].&amp;[1992]" c="1992"/>
              <i n="[DimYear].[Year].&amp;[1993]" c="1993"/>
              <i n="[DimYear].[Year].&amp;[1994]" c="1994"/>
              <i n="[DimYear].[Year].&amp;[1995]" c="1995"/>
              <i n="[DimYear].[Year].&amp;[1996]" c="1996"/>
              <i n="[DimYear].[Year].&amp;[1997]" c="1997"/>
              <i n="[DimYear].[Year].&amp;[1998]" c="1998"/>
              <i n="[DimYear].[Year].&amp;[1999]" c="1999"/>
              <i n="[DimYear].[Year].&amp;[2000]" c="2000"/>
              <i n="[DimYear].[Year].&amp;[2001]" c="2001"/>
              <i n="[DimYear].[Year].&amp;[2002]" c="2002"/>
              <i n="[DimYear].[Year].&amp;[2003]" c="2003"/>
              <i n="[DimYear].[Year].&amp;[2004]" c="2004"/>
              <i n="[DimYear].[Year].&amp;[2005]" c="2005"/>
              <i n="[DimYear].[Year].&amp;[2006]" c="2006"/>
              <i n="[DimYear].[Year].&amp;[2007]" c="2007"/>
              <i n="[DimYear].[Year].&amp;[2008]" c="2008"/>
              <i n="[DimYear].[Year].&amp;[2009]" c="2009"/>
              <i n="[DimYear].[Year].&amp;[2010]" c="2010"/>
              <i n="[DimYear].[Year].&amp;[2011]" c="2011"/>
              <i n="[DimYear].[Year].&amp;[2012]" c="2012"/>
              <i n="[DimYear].[Year].&amp;[2013]" c="2013"/>
              <i n="[DimYear].[Year].&amp;[2014]" c="2014"/>
              <i n="[DimYear].[Year].&amp;[2015]" c="2015"/>
              <i n="[DimYear].[Year].&amp;[2016]" c="2016"/>
              <i n="[DimYear].[Year].&amp;[2017]" c="2017"/>
              <i n="[DimYear].[Year].&amp;[2018]" c="2018"/>
              <i n="[DimYear].[Year].&amp;[2019]" c="2019"/>
              <i n="[DimYear].[Year].&amp;[2020]" c="2020"/>
              <i n="[DimYear].[Year].&amp;[2021]" c="2021"/>
              <i n="[DimYear].[Year].&amp;[2022]" c="2022"/>
              <i n="[DimYear].[Year].&amp;[2023]" c="2023"/>
              <i n="[DimYear].[Year].&amp;[2024]" c="2024"/>
            </range>
          </ranges>
        </level>
      </levels>
      <selections count="1">
        <selection n="[DimYear].[Year].[All]"/>
      </selections>
    </olap>
  </data>
  <extLst>
    <x:ext xmlns:x15="http://schemas.microsoft.com/office/spreadsheetml/2010/11/main" uri="{470722E0-AACD-4C17-9CDC-17EF765DBC7E}">
      <x15:slicerCacheHideItemsWithNoData count="1">
        <x15:slicerCacheOlapLevelName uniqueName="[DimYear].[Year].[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Key" xr10:uid="{15A904A7-146B-4DA7-9BDF-8928850815D2}" sourceName="[All_Commodities].[Commodities]">
  <pivotTables>
    <pivotTable tabId="32" name="PivotTable2"/>
    <pivotTable tabId="33" name="PivotTable2"/>
    <pivotTable tabId="34" name="PivotTable1"/>
  </pivotTables>
  <data>
    <olap pivotCacheId="904856561">
      <levels count="2">
        <level uniqueName="[All_Commodities].[Commodities].[(All)]" sourceCaption="(All)" count="0"/>
        <level uniqueName="[All_Commodities].[Commodities].[Commodities]" sourceCaption="Commodities" count="10">
          <ranges>
            <range startItem="0">
              <i n="[All_Commodities].[Commodities].&amp;[Coffee]" c="Coffee"/>
              <i n="[All_Commodities].[Commodities].&amp;[Copper]" c="Copper"/>
              <i n="[All_Commodities].[Commodities].&amp;[Corn]" c="Corn"/>
              <i n="[All_Commodities].[Commodities].&amp;[Cotton]" c="Cotton"/>
              <i n="[All_Commodities].[Commodities].&amp;[Lumber]" c="Lumber"/>
              <i n="[All_Commodities].[Commodities].&amp;[Oats]" c="Oats"/>
              <i n="[All_Commodities].[Commodities].&amp;[Soybean]" c="Soybean"/>
              <i n="[All_Commodities].[Commodities].&amp;[Soybean Oil]" c="Soybean Oil"/>
              <i n="[All_Commodities].[Commodities].&amp;[Sugar]" c="Sugar"/>
              <i n="[All_Commodities].[Commodities].&amp;[Wheat]" c="Wheat"/>
            </range>
          </ranges>
        </level>
      </levels>
      <selections count="1">
        <selection n="[All_Commodities].[Commodities].[All]"/>
      </selections>
    </olap>
  </data>
  <extLst>
    <x:ext xmlns:x15="http://schemas.microsoft.com/office/spreadsheetml/2010/11/main" uri="{470722E0-AACD-4C17-9CDC-17EF765DBC7E}">
      <x15:slicerCacheHideItemsWithNoData count="1">
        <x15:slicerCacheOlapLevelName uniqueName="[All_Commodities].[Commodities].[Commodities]"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Status" xr10:uid="{BB61712F-0454-42AE-9DF9-00D936623A52}" sourceName="[All_Commodities].[Growth Status]">
  <pivotTables>
    <pivotTable tabId="32" name="PivotTable2"/>
    <pivotTable tabId="35" name="PivotTable9"/>
    <pivotTable tabId="35" name="PivotTable10"/>
    <pivotTable tabId="33" name="PivotTable2"/>
  </pivotTables>
  <data>
    <olap pivotCacheId="904856561">
      <levels count="2">
        <level uniqueName="[All_Commodities].[Growth Status].[(All)]" sourceCaption="(All)" count="0"/>
        <level uniqueName="[All_Commodities].[Growth Status].[Growth Status]" sourceCaption="Growth Status" count="2">
          <ranges>
            <range startItem="0">
              <i n="[All_Commodities].[Growth Status].&amp;[Negative Growth]" c="Negative Growth"/>
              <i n="[All_Commodities].[Growth Status].&amp;[Positive Growth]" c="Positive Growth"/>
            </range>
          </ranges>
        </level>
      </levels>
      <selections count="1">
        <selection n="[All_Commodities].[Growth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D0C246D-FF16-4969-91EE-58F2C3119FE2}" sourceName="[DimYear].[Year]">
  <pivotTables>
    <pivotTable tabId="33" name="PivotTable4"/>
    <pivotTable tabId="38" name="PivotTable8"/>
  </pivotTables>
  <data>
    <olap pivotCacheId="902698298">
      <levels count="2">
        <level uniqueName="[DimYear].[Year].[(All)]" sourceCaption="(All)" count="0"/>
        <level uniqueName="[DimYear].[Year].[Year]" sourceCaption="Year" count="65">
          <ranges>
            <range startItem="0">
              <i n="[DimYear].[Year].&amp;[1960]" c="1960"/>
              <i n="[DimYear].[Year].&amp;[1961]" c="1961"/>
              <i n="[DimYear].[Year].&amp;[1962]" c="1962"/>
              <i n="[DimYear].[Year].&amp;[1963]" c="1963"/>
              <i n="[DimYear].[Year].&amp;[1964]" c="1964"/>
              <i n="[DimYear].[Year].&amp;[1965]" c="1965"/>
              <i n="[DimYear].[Year].&amp;[1966]" c="1966"/>
              <i n="[DimYear].[Year].&amp;[1967]" c="1967"/>
              <i n="[DimYear].[Year].&amp;[1968]" c="1968"/>
              <i n="[DimYear].[Year].&amp;[1969]" c="1969"/>
              <i n="[DimYear].[Year].&amp;[1970]" c="1970"/>
              <i n="[DimYear].[Year].&amp;[1971]" c="1971"/>
              <i n="[DimYear].[Year].&amp;[1972]" c="1972"/>
              <i n="[DimYear].[Year].&amp;[1973]" c="1973"/>
              <i n="[DimYear].[Year].&amp;[1974]" c="1974"/>
              <i n="[DimYear].[Year].&amp;[1975]" c="1975"/>
              <i n="[DimYear].[Year].&amp;[1976]" c="1976"/>
              <i n="[DimYear].[Year].&amp;[1977]" c="1977"/>
              <i n="[DimYear].[Year].&amp;[1978]" c="1978"/>
              <i n="[DimYear].[Year].&amp;[1979]" c="1979"/>
              <i n="[DimYear].[Year].&amp;[1980]" c="1980"/>
              <i n="[DimYear].[Year].&amp;[1981]" c="1981"/>
              <i n="[DimYear].[Year].&amp;[1982]" c="1982"/>
              <i n="[DimYear].[Year].&amp;[1983]" c="1983"/>
              <i n="[DimYear].[Year].&amp;[1984]" c="1984"/>
              <i n="[DimYear].[Year].&amp;[1985]" c="1985"/>
              <i n="[DimYear].[Year].&amp;[1986]" c="1986"/>
              <i n="[DimYear].[Year].&amp;[1987]" c="1987"/>
              <i n="[DimYear].[Year].&amp;[1988]" c="1988"/>
              <i n="[DimYear].[Year].&amp;[1989]" c="1989"/>
              <i n="[DimYear].[Year].&amp;[1990]" c="1990"/>
              <i n="[DimYear].[Year].&amp;[1991]" c="1991"/>
              <i n="[DimYear].[Year].&amp;[1992]" c="1992"/>
              <i n="[DimYear].[Year].&amp;[1993]" c="1993"/>
              <i n="[DimYear].[Year].&amp;[1994]" c="1994"/>
              <i n="[DimYear].[Year].&amp;[1995]" c="1995"/>
              <i n="[DimYear].[Year].&amp;[1996]" c="1996"/>
              <i n="[DimYear].[Year].&amp;[1997]" c="1997"/>
              <i n="[DimYear].[Year].&amp;[1998]" c="1998"/>
              <i n="[DimYear].[Year].&amp;[1999]" c="1999"/>
              <i n="[DimYear].[Year].&amp;[2000]" c="2000"/>
              <i n="[DimYear].[Year].&amp;[2001]" c="2001"/>
              <i n="[DimYear].[Year].&amp;[2002]" c="2002"/>
              <i n="[DimYear].[Year].&amp;[2003]" c="2003"/>
              <i n="[DimYear].[Year].&amp;[2004]" c="2004"/>
              <i n="[DimYear].[Year].&amp;[2005]" c="2005"/>
              <i n="[DimYear].[Year].&amp;[2006]" c="2006"/>
              <i n="[DimYear].[Year].&amp;[2007]" c="2007"/>
              <i n="[DimYear].[Year].&amp;[2008]" c="2008"/>
              <i n="[DimYear].[Year].&amp;[2009]" c="2009"/>
              <i n="[DimYear].[Year].&amp;[2010]" c="2010"/>
              <i n="[DimYear].[Year].&amp;[2011]" c="2011"/>
              <i n="[DimYear].[Year].&amp;[2012]" c="2012"/>
              <i n="[DimYear].[Year].&amp;[2013]" c="2013"/>
              <i n="[DimYear].[Year].&amp;[2014]" c="2014"/>
              <i n="[DimYear].[Year].&amp;[2015]" c="2015"/>
              <i n="[DimYear].[Year].&amp;[2016]" c="2016"/>
              <i n="[DimYear].[Year].&amp;[2017]" c="2017"/>
              <i n="[DimYear].[Year].&amp;[2018]" c="2018"/>
              <i n="[DimYear].[Year].&amp;[2019]" c="2019"/>
              <i n="[DimYear].[Year].&amp;[2020]" c="2020"/>
              <i n="[DimYear].[Year].&amp;[2021]" c="2021"/>
              <i n="[DimYear].[Year].&amp;[2022]" c="2022"/>
              <i n="[DimYear].[Year].&amp;[2023]" c="2023"/>
              <i n="[DimYear].[Year].&amp;[2024]" c="2024"/>
            </range>
          </ranges>
        </level>
      </levels>
      <selections count="1">
        <selection n="[DimYear].[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Status1" xr10:uid="{D13DF3C9-BF98-4B99-98F2-2CDB957A35AF}" sourceName="[All_Commodities].[Growth Status]">
  <pivotTables>
    <pivotTable tabId="33" name="PivotTable4"/>
    <pivotTable tabId="37" name="PivotTable3"/>
    <pivotTable tabId="38" name="PivotTable8"/>
  </pivotTables>
  <data>
    <olap pivotCacheId="902698298">
      <levels count="2">
        <level uniqueName="[All_Commodities].[Growth Status].[(All)]" sourceCaption="(All)" count="0"/>
        <level uniqueName="[All_Commodities].[Growth Status].[Growth Status]" sourceCaption="Growth Status" count="2">
          <ranges>
            <range startItem="0">
              <i n="[All_Commodities].[Growth Status].&amp;[Negative Growth]" c="Negative Growth"/>
              <i n="[All_Commodities].[Growth Status].&amp;[Positive Growth]" c="Positive Growth"/>
            </range>
          </ranges>
        </level>
      </levels>
      <selections count="1">
        <selection n="[All_Commodities].[Growth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ies" xr10:uid="{BBA87F45-4C22-4409-A111-8F3395A59F55}" sourceName="[All_Commodities].[Commodities]">
  <pivotTables>
    <pivotTable tabId="37" name="PivotTable3"/>
    <pivotTable tabId="33" name="PivotTable4"/>
    <pivotTable tabId="38" name="PivotTable8"/>
  </pivotTables>
  <data>
    <olap pivotCacheId="902698298">
      <levels count="2">
        <level uniqueName="[All_Commodities].[Commodities].[(All)]" sourceCaption="(All)" count="0"/>
        <level uniqueName="[All_Commodities].[Commodities].[Commodities]" sourceCaption="Commodities" count="10">
          <ranges>
            <range startItem="0">
              <i n="[All_Commodities].[Commodities].&amp;[Coffee]" c="Coffee"/>
              <i n="[All_Commodities].[Commodities].&amp;[Copper]" c="Copper"/>
              <i n="[All_Commodities].[Commodities].&amp;[Corn]" c="Corn"/>
              <i n="[All_Commodities].[Commodities].&amp;[Cotton]" c="Cotton"/>
              <i n="[All_Commodities].[Commodities].&amp;[Lumber]" c="Lumber"/>
              <i n="[All_Commodities].[Commodities].&amp;[Oats]" c="Oats"/>
              <i n="[All_Commodities].[Commodities].&amp;[Soybean]" c="Soybean"/>
              <i n="[All_Commodities].[Commodities].&amp;[Soybean Oil]" c="Soybean Oil"/>
              <i n="[All_Commodities].[Commodities].&amp;[Sugar]" c="Sugar"/>
              <i n="[All_Commodities].[Commodities].&amp;[Wheat]" c="Wheat"/>
            </range>
          </ranges>
        </level>
      </levels>
      <selections count="1">
        <selection n="[All_Commodities].[Commodities].&amp;[Copper]"/>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ies1" xr10:uid="{06DEC521-FE2F-469F-A37A-EB0300557387}" sourceName="[All_Commodities].[Commodities]">
  <pivotTables>
    <pivotTable tabId="42" name="PivotTable13"/>
    <pivotTable tabId="41" name="PivotTable9"/>
  </pivotTables>
  <data>
    <olap pivotCacheId="863012482">
      <levels count="2">
        <level uniqueName="[All_Commodities].[Commodities].[(All)]" sourceCaption="(All)" count="0"/>
        <level uniqueName="[All_Commodities].[Commodities].[Commodities]" sourceCaption="Commodities" count="10">
          <ranges>
            <range startItem="0">
              <i n="[All_Commodities].[Commodities].&amp;[Coffee]" c="Coffee"/>
              <i n="[All_Commodities].[Commodities].&amp;[Copper]" c="Copper"/>
              <i n="[All_Commodities].[Commodities].&amp;[Corn]" c="Corn"/>
              <i n="[All_Commodities].[Commodities].&amp;[Cotton]" c="Cotton"/>
              <i n="[All_Commodities].[Commodities].&amp;[Lumber]" c="Lumber"/>
              <i n="[All_Commodities].[Commodities].&amp;[Oats]" c="Oats"/>
              <i n="[All_Commodities].[Commodities].&amp;[Soybean]" c="Soybean"/>
              <i n="[All_Commodities].[Commodities].&amp;[Soybean Oil]" c="Soybean Oil"/>
              <i n="[All_Commodities].[Commodities].&amp;[Sugar]" c="Sugar"/>
              <i n="[All_Commodities].[Commodities].&amp;[Wheat]" c="Wheat"/>
            </range>
          </ranges>
        </level>
      </levels>
      <selections count="1">
        <selection n="[All_Commodities].[Commoditi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E59E9B9-EE1A-41E0-9CE3-D9EF068833A6}" cache="Slicer_Year" caption="Year" columnCount="2" level="1" style="SlicerStyleOther2" rowHeight="234950"/>
  <slicer name="Source_Key 1" xr10:uid="{D9C10F67-8DC3-4323-8551-7F1660B4DD04}" cache="Slicer_Source_Key" caption="Commodities" level="1" style="SlicerStyleOther2" rowHeight="234950"/>
  <slicer name="Growth Status 1" xr10:uid="{2DBA67D4-D539-4250-BA74-8FCACD7B6C45}" cache="Slicer_Growth_Status" caption="Growth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195A8C45-F65C-4C33-B133-C450C0F2F5C1}" cache="Slicer_Year1" caption="Year" startItem="3" level="1" rowHeight="234950"/>
  <slicer name="Growth Status 2" xr10:uid="{4FB314BD-ED49-4983-A243-E6A10BFCB57D}" cache="Slicer_Growth_Status1" caption="Growth Status" level="1" rowHeight="234950"/>
  <slicer name="Commodities 1" xr10:uid="{06A93AE7-2F5B-4A15-B3B6-A3D3A48F2E55}" cache="Slicer_Commodities" caption="Commodities"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ies 3" xr10:uid="{827F7166-BDD9-438F-8E39-85A92F0F30A9}" cache="Slicer_Commodities1" caption="Commodities"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ies 2" xr10:uid="{5029E1A5-548B-40AC-B888-640839AE304F}" cache="Slicer_Commodities1" caption="Commodities"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78FABC12-481F-4F8B-8D52-F738623B481B}" cache="Slicer_Year1" caption="Year" level="1" rowHeight="234950"/>
  <slicer name="Growth Status" xr10:uid="{90F6EA2C-C895-417C-9BCE-88DA93A453D2}" cache="Slicer_Growth_Status1" caption="Growth Status"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ies" xr10:uid="{7090E310-F8DE-47B3-88A1-BF02581E5C78}" cache="Slicer_Commodities" caption="Commodities"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D668B6-7F66-4437-9751-B3BDD722CE61}" cache="Slicer_Year" caption="Year" columnCount="6" level="1" style="SlicerStyleOther2" rowHeight="234950"/>
  <slicer name="Source_Key" xr10:uid="{BA2DCBA4-994B-4D50-9B8F-B637B3D5B100}" cache="Slicer_Source_Key" caption="Commodities" columnCount="2" level="1" style="SlicerStyleOther2"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AFF1810-52FF-4FC7-A1A9-CA068CB5B64D}" cache="Slicer_Year" caption="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452368-7228-4BEC-B08E-A654379FBF72}" name="All_Commodities" displayName="All_Commodities" ref="A1:L587" tableType="queryTable" totalsRowShown="0">
  <autoFilter ref="A1:L587" xr:uid="{19452368-7228-4BEC-B08E-A654379FBF72}"/>
  <sortState xmlns:xlrd2="http://schemas.microsoft.com/office/spreadsheetml/2017/richdata2" ref="A2:L587">
    <sortCondition ref="B2:B587"/>
    <sortCondition ref="C2:C587"/>
  </sortState>
  <tableColumns count="12">
    <tableColumn id="10" xr3:uid="{00A7CA1D-3963-4995-9C85-F1FAEC1DCC76}" uniqueName="10" name="Id" queryTableFieldId="12" dataDxfId="10"/>
    <tableColumn id="2" xr3:uid="{4CCD489E-FE2E-449E-B233-886FC7CA5EA3}" uniqueName="2" name="Commodities" queryTableFieldId="18" dataDxfId="9"/>
    <tableColumn id="3" xr3:uid="{4A182643-FB4D-4172-8365-C3B41162F688}" uniqueName="3" name="Year" queryTableFieldId="3"/>
    <tableColumn id="4" xr3:uid="{7FB07A3D-BB22-43C6-B0EB-9C4EE9E18A8C}" uniqueName="4" name="Average_Closing_price" queryTableFieldId="4" dataDxfId="8"/>
    <tableColumn id="5" xr3:uid="{32FD9F4F-232B-4868-926C-22CF76737F5E}" uniqueName="5" name="Year_Open" queryTableFieldId="5" dataDxfId="7"/>
    <tableColumn id="6" xr3:uid="{A883BAEA-96DC-4738-A119-4557DD958627}" uniqueName="6" name="Year_High" queryTableFieldId="6" dataDxfId="6"/>
    <tableColumn id="7" xr3:uid="{78CCE1BC-FFE0-4D15-8D91-4433B7C9BDC2}" uniqueName="7" name="Year_Low" queryTableFieldId="7" dataDxfId="5"/>
    <tableColumn id="8" xr3:uid="{F0F42D61-8799-4FF4-B12F-A7674D567A73}" uniqueName="8" name="Year_Close" queryTableFieldId="8" dataDxfId="4"/>
    <tableColumn id="9" xr3:uid="{7BFCFB7E-2F9B-45B0-8C54-194C93D26079}" uniqueName="9" name="Annual_Change" queryTableFieldId="9" dataDxfId="3"/>
    <tableColumn id="11" xr3:uid="{5F31FCD6-DF29-410C-9655-F2152D1E12D1}" uniqueName="11" name="Average OHLC" queryTableFieldId="14" dataDxfId="2"/>
    <tableColumn id="1" xr3:uid="{9079DCDF-4679-4A78-A890-7A39A571131E}" uniqueName="1" name="Growth Status" queryTableFieldId="15" dataDxfId="1"/>
    <tableColumn id="13" xr3:uid="{FFA2CAAE-0407-439D-BE79-56D8D805DE72}" uniqueName="13" name="Annual Range %" queryTableFieldId="1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E346F5-1FE0-4E33-94D9-D5EB0A87F862}" name="DimYear" displayName="DimYear" ref="A1:B66" tableType="queryTable" totalsRowShown="0">
  <autoFilter ref="A1:B66" xr:uid="{2AE346F5-1FE0-4E33-94D9-D5EB0A87F862}"/>
  <tableColumns count="2">
    <tableColumn id="1" xr3:uid="{E4DE68E2-BC69-43D4-BF6E-C45A93C45E64}" uniqueName="1" name="Year" queryTableFieldId="1"/>
    <tableColumn id="2" xr3:uid="{99D6AC9F-E102-4932-830B-DB38554143C4}" uniqueName="2" name="Id"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4.bin"/><Relationship Id="rId1" Type="http://schemas.openxmlformats.org/officeDocument/2006/relationships/pivotTable" Target="../pivotTables/pivotTable6.xml"/><Relationship Id="rId4" Type="http://schemas.microsoft.com/office/2007/relationships/slicer" Target="../slicers/slicer7.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5.bin"/><Relationship Id="rId1" Type="http://schemas.openxmlformats.org/officeDocument/2006/relationships/pivotTable" Target="../pivotTables/pivotTable11.xml"/><Relationship Id="rId4" Type="http://schemas.microsoft.com/office/2007/relationships/slicer" Target="../slicers/slicer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6BD7-05BC-4BE3-9FE8-EEFAD3C66F6E}">
  <dimension ref="B1:B13"/>
  <sheetViews>
    <sheetView showGridLines="0" zoomScaleNormal="100" workbookViewId="0"/>
  </sheetViews>
  <sheetFormatPr defaultRowHeight="14.4" x14ac:dyDescent="0.3"/>
  <cols>
    <col min="1" max="2" width="8.88671875" style="14"/>
    <col min="3" max="3" width="10.44140625" style="14" customWidth="1"/>
    <col min="4" max="5" width="8.88671875" style="14"/>
    <col min="6" max="6" width="9.109375" style="14" customWidth="1"/>
    <col min="7" max="7" width="2.109375" style="14" customWidth="1"/>
    <col min="8" max="8" width="8.88671875" style="14" customWidth="1"/>
    <col min="9" max="10" width="8.88671875" style="14"/>
    <col min="11" max="11" width="8.88671875" style="14" customWidth="1"/>
    <col min="12" max="21" width="8.88671875" style="14"/>
    <col min="22" max="22" width="8.88671875" style="14" customWidth="1"/>
    <col min="23" max="23" width="9.77734375" style="14" customWidth="1"/>
    <col min="24" max="16384" width="8.88671875" style="14"/>
  </cols>
  <sheetData>
    <row r="1" spans="2:2" ht="11.4" customHeight="1" x14ac:dyDescent="0.3"/>
    <row r="2" spans="2:2" ht="11.4" customHeight="1" x14ac:dyDescent="0.3"/>
    <row r="3" spans="2:2" ht="11.4" customHeight="1" x14ac:dyDescent="0.3"/>
    <row r="13" spans="2:2" x14ac:dyDescent="0.3">
      <c r="B1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8368-8CE3-4061-BE37-57E44E72255F}">
  <dimension ref="A1:A3"/>
  <sheetViews>
    <sheetView showGridLines="0" zoomScaleNormal="100" workbookViewId="0"/>
  </sheetViews>
  <sheetFormatPr defaultRowHeight="14.4" x14ac:dyDescent="0.3"/>
  <cols>
    <col min="3" max="3" width="11.33203125" customWidth="1"/>
    <col min="4" max="11" width="8.88671875" customWidth="1"/>
  </cols>
  <sheetData>
    <row r="1" ht="11.4" customHeight="1" x14ac:dyDescent="0.3"/>
    <row r="2" ht="11.4" customHeight="1" x14ac:dyDescent="0.3"/>
    <row r="3" ht="11.4"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4718E-652B-486D-BF58-4C2C4E42D4BD}">
  <dimension ref="A1:A3"/>
  <sheetViews>
    <sheetView showGridLines="0" workbookViewId="0"/>
  </sheetViews>
  <sheetFormatPr defaultRowHeight="14.4" x14ac:dyDescent="0.3"/>
  <cols>
    <col min="3" max="3" width="9.6640625" customWidth="1"/>
    <col min="12" max="13" width="14.33203125" bestFit="1" customWidth="1"/>
    <col min="14" max="14" width="22.21875" bestFit="1" customWidth="1"/>
    <col min="15" max="15" width="12.33203125" bestFit="1" customWidth="1"/>
    <col min="16" max="16" width="14.33203125" bestFit="1" customWidth="1"/>
    <col min="17" max="17" width="22.21875" bestFit="1" customWidth="1"/>
    <col min="18" max="18" width="12.33203125" bestFit="1" customWidth="1"/>
  </cols>
  <sheetData>
    <row r="1" ht="11.4" customHeight="1" x14ac:dyDescent="0.3"/>
    <row r="2" ht="11.4" customHeight="1" x14ac:dyDescent="0.3"/>
    <row r="3" ht="11.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B986-0C85-4D81-9955-C895594CF407}">
  <dimension ref="A1:A3"/>
  <sheetViews>
    <sheetView showGridLines="0" tabSelected="1" workbookViewId="0"/>
  </sheetViews>
  <sheetFormatPr defaultRowHeight="14.4" x14ac:dyDescent="0.3"/>
  <sheetData>
    <row r="1" ht="12.6" customHeight="1" x14ac:dyDescent="0.3"/>
    <row r="2" ht="12.6" customHeight="1" x14ac:dyDescent="0.3"/>
    <row r="3" ht="12.6" customHeigh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8B12-1DBA-4313-94A5-A27826D2E76F}">
  <dimension ref="A1:K587"/>
  <sheetViews>
    <sheetView workbookViewId="0">
      <selection activeCell="I13" sqref="I13"/>
    </sheetView>
  </sheetViews>
  <sheetFormatPr defaultRowHeight="14.4" x14ac:dyDescent="0.3"/>
  <cols>
    <col min="1" max="1" width="11.77734375" bestFit="1" customWidth="1"/>
    <col min="2" max="2" width="14.88671875" bestFit="1" customWidth="1"/>
    <col min="3" max="3" width="12.6640625" bestFit="1" customWidth="1"/>
    <col min="4" max="4" width="12.5546875" bestFit="1" customWidth="1"/>
    <col min="8" max="8" width="12.5546875" bestFit="1" customWidth="1"/>
    <col min="9" max="9" width="22.21875" bestFit="1" customWidth="1"/>
    <col min="10" max="10" width="19.6640625" bestFit="1" customWidth="1"/>
    <col min="11" max="11" width="19.5546875" bestFit="1" customWidth="1"/>
  </cols>
  <sheetData>
    <row r="1" spans="1:11" x14ac:dyDescent="0.3">
      <c r="A1" t="s">
        <v>623</v>
      </c>
      <c r="B1" t="s">
        <v>618</v>
      </c>
      <c r="C1" t="s">
        <v>640</v>
      </c>
      <c r="D1" t="s">
        <v>641</v>
      </c>
      <c r="I1" t="s">
        <v>612</v>
      </c>
      <c r="J1" t="s">
        <v>642</v>
      </c>
      <c r="K1" t="s">
        <v>643</v>
      </c>
    </row>
    <row r="2" spans="1:11" x14ac:dyDescent="0.3">
      <c r="A2" t="str" cm="1">
        <f t="array" ref="A2:A587">All_Commodities[Commodities]</f>
        <v>Coffee</v>
      </c>
      <c r="B2" t="str" cm="1">
        <f t="array" ref="B2:B587">All_Commodities[Growth Status]</f>
        <v>Negative Growth</v>
      </c>
      <c r="C2">
        <f>IF(B2="Positive Growth",1,0)</f>
        <v>0</v>
      </c>
      <c r="D2">
        <f>IF(B2="Negative Growth",1,0)</f>
        <v>1</v>
      </c>
      <c r="I2" t="s">
        <v>75</v>
      </c>
      <c r="J2">
        <f>_xlfn.MAXIFS(C:C,A:A,I2)</f>
        <v>3</v>
      </c>
      <c r="K2">
        <f>_xlfn.MAXIFS(D:D,A:A,I2)</f>
        <v>5</v>
      </c>
    </row>
    <row r="3" spans="1:11" x14ac:dyDescent="0.3">
      <c r="A3" t="str">
        <v>Coffee</v>
      </c>
      <c r="B3" t="str">
        <v>Positive Growth</v>
      </c>
      <c r="C3">
        <f>IF(A3&lt;&gt;A2,IF(B3="Positive Growth",1,0),IF(B3="Positive Growth",IF(B2="Positive Growth",C2+1,1),0))</f>
        <v>1</v>
      </c>
      <c r="D3">
        <f>IF(A3&lt;&gt;A2,IF(B3="Negative Growth",1,0),IF(B3="Negative Growth",IF(B2="Negative Growth",D2+1,1),0))</f>
        <v>0</v>
      </c>
      <c r="I3" t="s">
        <v>74</v>
      </c>
      <c r="J3">
        <f t="shared" ref="J3:J11" si="0">_xlfn.MAXIFS(C:C,A:A,I3)</f>
        <v>4</v>
      </c>
      <c r="K3">
        <f t="shared" ref="K3:K11" si="1">_xlfn.MAXIFS(D:D,A:A,I3)</f>
        <v>3</v>
      </c>
    </row>
    <row r="4" spans="1:11" x14ac:dyDescent="0.3">
      <c r="A4" t="str">
        <v>Coffee</v>
      </c>
      <c r="B4" t="str">
        <v>Positive Growth</v>
      </c>
      <c r="C4">
        <f t="shared" ref="C4:C67" si="2">IF(A4&lt;&gt;A3,IF(B4="Positive Growth",1,0),IF(B4="Positive Growth",IF(B3="Positive Growth",C3+1,1),0))</f>
        <v>2</v>
      </c>
      <c r="D4">
        <f t="shared" ref="D4:D67" si="3">IF(A4&lt;&gt;A3,IF(B4="Negative Growth",1,0),IF(B4="Negative Growth",IF(B3="Negative Growth",D3+1,1),0))</f>
        <v>0</v>
      </c>
      <c r="I4" t="s">
        <v>76</v>
      </c>
      <c r="J4">
        <f t="shared" si="0"/>
        <v>6</v>
      </c>
      <c r="K4">
        <f t="shared" si="1"/>
        <v>3</v>
      </c>
    </row>
    <row r="5" spans="1:11" x14ac:dyDescent="0.3">
      <c r="A5" t="str">
        <v>Coffee</v>
      </c>
      <c r="B5" t="str">
        <v>Negative Growth</v>
      </c>
      <c r="C5">
        <f t="shared" si="2"/>
        <v>0</v>
      </c>
      <c r="D5">
        <f t="shared" si="3"/>
        <v>1</v>
      </c>
      <c r="I5" t="s">
        <v>77</v>
      </c>
      <c r="J5">
        <f t="shared" si="0"/>
        <v>6</v>
      </c>
      <c r="K5">
        <f t="shared" si="1"/>
        <v>4</v>
      </c>
    </row>
    <row r="6" spans="1:11" x14ac:dyDescent="0.3">
      <c r="A6" t="str">
        <v>Coffee</v>
      </c>
      <c r="B6" t="str">
        <v>Negative Growth</v>
      </c>
      <c r="C6">
        <f t="shared" si="2"/>
        <v>0</v>
      </c>
      <c r="D6">
        <f t="shared" si="3"/>
        <v>2</v>
      </c>
      <c r="I6" t="s">
        <v>78</v>
      </c>
      <c r="J6">
        <f t="shared" si="0"/>
        <v>6</v>
      </c>
      <c r="K6">
        <f t="shared" si="1"/>
        <v>5</v>
      </c>
    </row>
    <row r="7" spans="1:11" x14ac:dyDescent="0.3">
      <c r="A7" t="str">
        <v>Coffee</v>
      </c>
      <c r="B7" t="str">
        <v>Positive Growth</v>
      </c>
      <c r="C7">
        <f t="shared" si="2"/>
        <v>1</v>
      </c>
      <c r="D7">
        <f t="shared" si="3"/>
        <v>0</v>
      </c>
      <c r="I7" t="s">
        <v>79</v>
      </c>
      <c r="J7">
        <f t="shared" si="0"/>
        <v>5</v>
      </c>
      <c r="K7">
        <f t="shared" si="1"/>
        <v>4</v>
      </c>
    </row>
    <row r="8" spans="1:11" x14ac:dyDescent="0.3">
      <c r="A8" t="str">
        <v>Coffee</v>
      </c>
      <c r="B8" t="str">
        <v>Negative Growth</v>
      </c>
      <c r="C8">
        <f t="shared" si="2"/>
        <v>0</v>
      </c>
      <c r="D8">
        <f t="shared" si="3"/>
        <v>1</v>
      </c>
      <c r="I8" t="s">
        <v>73</v>
      </c>
      <c r="J8">
        <f t="shared" si="0"/>
        <v>6</v>
      </c>
      <c r="K8">
        <f t="shared" si="1"/>
        <v>3</v>
      </c>
    </row>
    <row r="9" spans="1:11" x14ac:dyDescent="0.3">
      <c r="A9" t="str">
        <v>Coffee</v>
      </c>
      <c r="B9" t="str">
        <v>Positive Growth</v>
      </c>
      <c r="C9">
        <f t="shared" si="2"/>
        <v>1</v>
      </c>
      <c r="D9">
        <f t="shared" si="3"/>
        <v>0</v>
      </c>
      <c r="I9" t="s">
        <v>81</v>
      </c>
      <c r="J9">
        <f t="shared" si="0"/>
        <v>6</v>
      </c>
      <c r="K9">
        <f t="shared" si="1"/>
        <v>4</v>
      </c>
    </row>
    <row r="10" spans="1:11" x14ac:dyDescent="0.3">
      <c r="A10" t="str">
        <v>Coffee</v>
      </c>
      <c r="B10" t="str">
        <v>Negative Growth</v>
      </c>
      <c r="C10">
        <f t="shared" si="2"/>
        <v>0</v>
      </c>
      <c r="D10">
        <f t="shared" si="3"/>
        <v>1</v>
      </c>
      <c r="I10" t="s">
        <v>80</v>
      </c>
      <c r="J10">
        <f t="shared" si="0"/>
        <v>5</v>
      </c>
      <c r="K10">
        <f t="shared" si="1"/>
        <v>5</v>
      </c>
    </row>
    <row r="11" spans="1:11" x14ac:dyDescent="0.3">
      <c r="A11" t="str">
        <v>Coffee</v>
      </c>
      <c r="B11" t="str">
        <v>Positive Growth</v>
      </c>
      <c r="C11">
        <f t="shared" si="2"/>
        <v>1</v>
      </c>
      <c r="D11">
        <f t="shared" si="3"/>
        <v>0</v>
      </c>
      <c r="I11" t="s">
        <v>82</v>
      </c>
      <c r="J11">
        <f t="shared" si="0"/>
        <v>6</v>
      </c>
      <c r="K11">
        <f t="shared" si="1"/>
        <v>5</v>
      </c>
    </row>
    <row r="12" spans="1:11" x14ac:dyDescent="0.3">
      <c r="A12" t="str">
        <v>Coffee</v>
      </c>
      <c r="B12" t="str">
        <v>Positive Growth</v>
      </c>
      <c r="C12">
        <f t="shared" si="2"/>
        <v>2</v>
      </c>
      <c r="D12">
        <f t="shared" si="3"/>
        <v>0</v>
      </c>
    </row>
    <row r="13" spans="1:11" x14ac:dyDescent="0.3">
      <c r="A13" t="str">
        <v>Coffee</v>
      </c>
      <c r="B13" t="str">
        <v>Positive Growth</v>
      </c>
      <c r="C13">
        <f t="shared" si="2"/>
        <v>3</v>
      </c>
      <c r="D13">
        <f t="shared" si="3"/>
        <v>0</v>
      </c>
    </row>
    <row r="14" spans="1:11" x14ac:dyDescent="0.3">
      <c r="A14" t="str">
        <v>Coffee</v>
      </c>
      <c r="B14" t="str">
        <v>Negative Growth</v>
      </c>
      <c r="C14">
        <f t="shared" si="2"/>
        <v>0</v>
      </c>
      <c r="D14">
        <f t="shared" si="3"/>
        <v>1</v>
      </c>
    </row>
    <row r="15" spans="1:11" x14ac:dyDescent="0.3">
      <c r="A15" t="str">
        <v>Coffee</v>
      </c>
      <c r="B15" t="str">
        <v>Negative Growth</v>
      </c>
      <c r="C15">
        <f t="shared" si="2"/>
        <v>0</v>
      </c>
      <c r="D15">
        <f t="shared" si="3"/>
        <v>2</v>
      </c>
    </row>
    <row r="16" spans="1:11" x14ac:dyDescent="0.3">
      <c r="A16" t="str">
        <v>Coffee</v>
      </c>
      <c r="B16" t="str">
        <v>Positive Growth</v>
      </c>
      <c r="C16">
        <f t="shared" si="2"/>
        <v>1</v>
      </c>
      <c r="D16">
        <f t="shared" si="3"/>
        <v>0</v>
      </c>
      <c r="I16" t="str">
        <f>INDEX(I2:I11,MATCH(MAX(J2:J11),J2:J11,0))</f>
        <v>Oats</v>
      </c>
      <c r="J16">
        <f>MAX(J2:J11)</f>
        <v>6</v>
      </c>
    </row>
    <row r="17" spans="1:10" x14ac:dyDescent="0.3">
      <c r="A17" t="str">
        <v>Coffee</v>
      </c>
      <c r="B17" t="str">
        <v>Negative Growth</v>
      </c>
      <c r="C17">
        <f t="shared" si="2"/>
        <v>0</v>
      </c>
      <c r="D17">
        <f t="shared" si="3"/>
        <v>1</v>
      </c>
      <c r="I17" t="str">
        <f>INDEX(I2:I11,MATCH(MAX(K2:K11),K2:K11,0))</f>
        <v>Cotton</v>
      </c>
      <c r="J17">
        <f>MAX(K2:K11)</f>
        <v>5</v>
      </c>
    </row>
    <row r="18" spans="1:10" x14ac:dyDescent="0.3">
      <c r="A18" t="str">
        <v>Coffee</v>
      </c>
      <c r="B18" t="str">
        <v>Positive Growth</v>
      </c>
      <c r="C18">
        <f t="shared" si="2"/>
        <v>1</v>
      </c>
      <c r="D18">
        <f t="shared" si="3"/>
        <v>0</v>
      </c>
    </row>
    <row r="19" spans="1:10" x14ac:dyDescent="0.3">
      <c r="A19" t="str">
        <v>Coffee</v>
      </c>
      <c r="B19" t="str">
        <v>Negative Growth</v>
      </c>
      <c r="C19">
        <f t="shared" si="2"/>
        <v>0</v>
      </c>
      <c r="D19">
        <f t="shared" si="3"/>
        <v>1</v>
      </c>
    </row>
    <row r="20" spans="1:10" x14ac:dyDescent="0.3">
      <c r="A20" t="str">
        <v>Coffee</v>
      </c>
      <c r="B20" t="str">
        <v>Negative Growth</v>
      </c>
      <c r="C20">
        <f t="shared" si="2"/>
        <v>0</v>
      </c>
      <c r="D20">
        <f t="shared" si="3"/>
        <v>2</v>
      </c>
    </row>
    <row r="21" spans="1:10" x14ac:dyDescent="0.3">
      <c r="A21" t="str">
        <v>Coffee</v>
      </c>
      <c r="B21" t="str">
        <v>Negative Growth</v>
      </c>
      <c r="C21">
        <f t="shared" si="2"/>
        <v>0</v>
      </c>
      <c r="D21">
        <f t="shared" si="3"/>
        <v>3</v>
      </c>
    </row>
    <row r="22" spans="1:10" x14ac:dyDescent="0.3">
      <c r="A22" t="str">
        <v>Coffee</v>
      </c>
      <c r="B22" t="str">
        <v>Positive Growth</v>
      </c>
      <c r="C22">
        <f t="shared" si="2"/>
        <v>1</v>
      </c>
      <c r="D22">
        <f t="shared" si="3"/>
        <v>0</v>
      </c>
    </row>
    <row r="23" spans="1:10" x14ac:dyDescent="0.3">
      <c r="A23" t="str">
        <v>Coffee</v>
      </c>
      <c r="B23" t="str">
        <v>Negative Growth</v>
      </c>
      <c r="C23">
        <f t="shared" si="2"/>
        <v>0</v>
      </c>
      <c r="D23">
        <f t="shared" si="3"/>
        <v>1</v>
      </c>
    </row>
    <row r="24" spans="1:10" x14ac:dyDescent="0.3">
      <c r="A24" t="str">
        <v>Coffee</v>
      </c>
      <c r="B24" t="str">
        <v>Positive Growth</v>
      </c>
      <c r="C24">
        <f t="shared" si="2"/>
        <v>1</v>
      </c>
      <c r="D24">
        <f t="shared" si="3"/>
        <v>0</v>
      </c>
    </row>
    <row r="25" spans="1:10" x14ac:dyDescent="0.3">
      <c r="A25" t="str">
        <v>Coffee</v>
      </c>
      <c r="B25" t="str">
        <v>Positive Growth</v>
      </c>
      <c r="C25">
        <f t="shared" si="2"/>
        <v>2</v>
      </c>
      <c r="D25">
        <f t="shared" si="3"/>
        <v>0</v>
      </c>
    </row>
    <row r="26" spans="1:10" x14ac:dyDescent="0.3">
      <c r="A26" t="str">
        <v>Coffee</v>
      </c>
      <c r="B26" t="str">
        <v>Negative Growth</v>
      </c>
      <c r="C26">
        <f t="shared" si="2"/>
        <v>0</v>
      </c>
      <c r="D26">
        <f t="shared" si="3"/>
        <v>1</v>
      </c>
    </row>
    <row r="27" spans="1:10" x14ac:dyDescent="0.3">
      <c r="A27" t="str">
        <v>Coffee</v>
      </c>
      <c r="B27" t="str">
        <v>Positive Growth</v>
      </c>
      <c r="C27">
        <f t="shared" si="2"/>
        <v>1</v>
      </c>
      <c r="D27">
        <f t="shared" si="3"/>
        <v>0</v>
      </c>
    </row>
    <row r="28" spans="1:10" x14ac:dyDescent="0.3">
      <c r="A28" t="str">
        <v>Coffee</v>
      </c>
      <c r="B28" t="str">
        <v>Negative Growth</v>
      </c>
      <c r="C28">
        <f t="shared" si="2"/>
        <v>0</v>
      </c>
      <c r="D28">
        <f t="shared" si="3"/>
        <v>1</v>
      </c>
      <c r="H28" s="8" t="s">
        <v>617</v>
      </c>
      <c r="I28" t="s">
        <v>625</v>
      </c>
    </row>
    <row r="29" spans="1:10" x14ac:dyDescent="0.3">
      <c r="A29" t="str">
        <v>Coffee</v>
      </c>
      <c r="B29" t="str">
        <v>Negative Growth</v>
      </c>
      <c r="C29">
        <f t="shared" si="2"/>
        <v>0</v>
      </c>
      <c r="D29">
        <f t="shared" si="3"/>
        <v>2</v>
      </c>
      <c r="H29" s="15">
        <v>2014</v>
      </c>
      <c r="I29" s="13">
        <v>0.40856341723202927</v>
      </c>
    </row>
    <row r="30" spans="1:10" x14ac:dyDescent="0.3">
      <c r="A30" t="str">
        <v>Coffee</v>
      </c>
      <c r="B30" t="str">
        <v>Positive Growth</v>
      </c>
      <c r="C30">
        <f t="shared" si="2"/>
        <v>1</v>
      </c>
      <c r="D30">
        <f t="shared" si="3"/>
        <v>0</v>
      </c>
      <c r="H30" s="15">
        <v>2015</v>
      </c>
      <c r="I30" s="13">
        <v>0.33155399382174833</v>
      </c>
    </row>
    <row r="31" spans="1:10" x14ac:dyDescent="0.3">
      <c r="A31" t="str">
        <v>Coffee</v>
      </c>
      <c r="B31" t="str">
        <v>Positive Growth</v>
      </c>
      <c r="C31">
        <f t="shared" si="2"/>
        <v>2</v>
      </c>
      <c r="D31">
        <f t="shared" si="3"/>
        <v>0</v>
      </c>
      <c r="H31" s="15">
        <v>2016</v>
      </c>
      <c r="I31" s="13">
        <v>0.37099387680712204</v>
      </c>
    </row>
    <row r="32" spans="1:10" x14ac:dyDescent="0.3">
      <c r="A32" t="str">
        <v>Coffee</v>
      </c>
      <c r="B32" t="str">
        <v>Positive Growth</v>
      </c>
      <c r="C32">
        <f t="shared" si="2"/>
        <v>3</v>
      </c>
      <c r="D32">
        <f t="shared" si="3"/>
        <v>0</v>
      </c>
      <c r="H32" s="15">
        <v>2017</v>
      </c>
      <c r="I32" s="13">
        <v>0.29435211335938527</v>
      </c>
    </row>
    <row r="33" spans="1:9" x14ac:dyDescent="0.3">
      <c r="A33" t="str">
        <v>Coffee</v>
      </c>
      <c r="B33" t="str">
        <v>Positive Growth</v>
      </c>
      <c r="C33">
        <f t="shared" si="2"/>
        <v>4</v>
      </c>
      <c r="D33">
        <f t="shared" si="3"/>
        <v>0</v>
      </c>
      <c r="H33" s="15">
        <v>2018</v>
      </c>
      <c r="I33" s="13">
        <v>0.33381514522131084</v>
      </c>
    </row>
    <row r="34" spans="1:9" x14ac:dyDescent="0.3">
      <c r="A34" t="str">
        <v>Coffee</v>
      </c>
      <c r="B34" t="str">
        <v>Positive Growth</v>
      </c>
      <c r="C34">
        <f t="shared" si="2"/>
        <v>5</v>
      </c>
      <c r="D34">
        <f t="shared" si="3"/>
        <v>0</v>
      </c>
      <c r="H34" s="15">
        <v>2019</v>
      </c>
      <c r="I34" s="13">
        <v>0.27994311945084571</v>
      </c>
    </row>
    <row r="35" spans="1:9" x14ac:dyDescent="0.3">
      <c r="A35" t="str">
        <v>Coffee</v>
      </c>
      <c r="B35" t="str">
        <v>Positive Growth</v>
      </c>
      <c r="C35">
        <f t="shared" si="2"/>
        <v>6</v>
      </c>
      <c r="D35">
        <f t="shared" si="3"/>
        <v>0</v>
      </c>
      <c r="H35" s="15">
        <v>2020</v>
      </c>
      <c r="I35" s="13">
        <v>0.53647502335769182</v>
      </c>
    </row>
    <row r="36" spans="1:9" x14ac:dyDescent="0.3">
      <c r="A36" t="str">
        <v>Coffee</v>
      </c>
      <c r="B36" t="str">
        <v>Negative Growth</v>
      </c>
      <c r="C36">
        <f t="shared" si="2"/>
        <v>0</v>
      </c>
      <c r="D36">
        <f t="shared" si="3"/>
        <v>1</v>
      </c>
      <c r="H36" s="15">
        <v>2021</v>
      </c>
      <c r="I36" s="13">
        <v>0.57249915645437577</v>
      </c>
    </row>
    <row r="37" spans="1:9" x14ac:dyDescent="0.3">
      <c r="A37" t="str">
        <v>Coffee</v>
      </c>
      <c r="B37" t="str">
        <v>Positive Growth</v>
      </c>
      <c r="C37">
        <f t="shared" si="2"/>
        <v>1</v>
      </c>
      <c r="D37">
        <f t="shared" si="3"/>
        <v>0</v>
      </c>
      <c r="H37" s="15">
        <v>2022</v>
      </c>
      <c r="I37" s="13">
        <v>0.57002635171875915</v>
      </c>
    </row>
    <row r="38" spans="1:9" x14ac:dyDescent="0.3">
      <c r="A38" t="str">
        <v>Coffee</v>
      </c>
      <c r="B38" t="str">
        <v>Positive Growth</v>
      </c>
      <c r="C38">
        <f t="shared" si="2"/>
        <v>2</v>
      </c>
      <c r="D38">
        <f t="shared" si="3"/>
        <v>0</v>
      </c>
      <c r="H38" s="15">
        <v>2023</v>
      </c>
      <c r="I38" s="13">
        <v>0.44300241623616232</v>
      </c>
    </row>
    <row r="39" spans="1:9" x14ac:dyDescent="0.3">
      <c r="A39" t="str">
        <v>Coffee</v>
      </c>
      <c r="B39" t="str">
        <v>Negative Growth</v>
      </c>
      <c r="C39">
        <f t="shared" si="2"/>
        <v>0</v>
      </c>
      <c r="D39">
        <f t="shared" si="3"/>
        <v>1</v>
      </c>
      <c r="H39" s="15">
        <v>2024</v>
      </c>
      <c r="I39" s="13">
        <v>0.37860796193101964</v>
      </c>
    </row>
    <row r="40" spans="1:9" x14ac:dyDescent="0.3">
      <c r="A40" t="str">
        <v>Coffee</v>
      </c>
      <c r="B40" t="str">
        <v>Negative Growth</v>
      </c>
      <c r="C40">
        <f t="shared" si="2"/>
        <v>0</v>
      </c>
      <c r="D40">
        <f t="shared" si="3"/>
        <v>2</v>
      </c>
      <c r="H40" s="15" t="s">
        <v>72</v>
      </c>
      <c r="I40" s="13">
        <v>0.41089387050822257</v>
      </c>
    </row>
    <row r="41" spans="1:9" x14ac:dyDescent="0.3">
      <c r="A41" t="str">
        <v>Coffee</v>
      </c>
      <c r="B41" t="str">
        <v>Negative Growth</v>
      </c>
      <c r="C41">
        <f t="shared" si="2"/>
        <v>0</v>
      </c>
      <c r="D41">
        <f t="shared" si="3"/>
        <v>3</v>
      </c>
    </row>
    <row r="42" spans="1:9" x14ac:dyDescent="0.3">
      <c r="A42" t="str">
        <v>Coffee</v>
      </c>
      <c r="B42" t="str">
        <v>Positive Growth</v>
      </c>
      <c r="C42">
        <f t="shared" si="2"/>
        <v>1</v>
      </c>
      <c r="D42">
        <f t="shared" si="3"/>
        <v>0</v>
      </c>
    </row>
    <row r="43" spans="1:9" x14ac:dyDescent="0.3">
      <c r="A43" t="str">
        <v>Coffee</v>
      </c>
      <c r="B43" t="str">
        <v>Negative Growth</v>
      </c>
      <c r="C43">
        <f t="shared" si="2"/>
        <v>0</v>
      </c>
      <c r="D43">
        <f t="shared" si="3"/>
        <v>1</v>
      </c>
    </row>
    <row r="44" spans="1:9" x14ac:dyDescent="0.3">
      <c r="A44" t="str">
        <v>Coffee</v>
      </c>
      <c r="B44" t="str">
        <v>Positive Growth</v>
      </c>
      <c r="C44">
        <f t="shared" si="2"/>
        <v>1</v>
      </c>
      <c r="D44">
        <f t="shared" si="3"/>
        <v>0</v>
      </c>
    </row>
    <row r="45" spans="1:9" x14ac:dyDescent="0.3">
      <c r="A45" t="str">
        <v>Coffee</v>
      </c>
      <c r="B45" t="str">
        <v>Negative Growth</v>
      </c>
      <c r="C45">
        <f t="shared" si="2"/>
        <v>0</v>
      </c>
      <c r="D45">
        <f t="shared" si="3"/>
        <v>1</v>
      </c>
    </row>
    <row r="46" spans="1:9" x14ac:dyDescent="0.3">
      <c r="A46" t="str">
        <v>Coffee</v>
      </c>
      <c r="B46" t="str">
        <v>Negative Growth</v>
      </c>
      <c r="C46">
        <f t="shared" si="2"/>
        <v>0</v>
      </c>
      <c r="D46">
        <f t="shared" si="3"/>
        <v>2</v>
      </c>
    </row>
    <row r="47" spans="1:9" x14ac:dyDescent="0.3">
      <c r="A47" t="str">
        <v>Coffee</v>
      </c>
      <c r="B47" t="str">
        <v>Positive Growth</v>
      </c>
      <c r="C47">
        <f t="shared" si="2"/>
        <v>1</v>
      </c>
      <c r="D47">
        <f t="shared" si="3"/>
        <v>0</v>
      </c>
    </row>
    <row r="48" spans="1:9" x14ac:dyDescent="0.3">
      <c r="A48" t="str">
        <v>Coffee</v>
      </c>
      <c r="B48" t="str">
        <v>Negative Growth</v>
      </c>
      <c r="C48">
        <f t="shared" si="2"/>
        <v>0</v>
      </c>
      <c r="D48">
        <f t="shared" si="3"/>
        <v>1</v>
      </c>
    </row>
    <row r="49" spans="1:4" x14ac:dyDescent="0.3">
      <c r="A49" t="str">
        <v>Coffee</v>
      </c>
      <c r="B49" t="str">
        <v>Positive Growth</v>
      </c>
      <c r="C49">
        <f t="shared" si="2"/>
        <v>1</v>
      </c>
      <c r="D49">
        <f t="shared" si="3"/>
        <v>0</v>
      </c>
    </row>
    <row r="50" spans="1:4" x14ac:dyDescent="0.3">
      <c r="A50" t="str">
        <v>Coffee</v>
      </c>
      <c r="B50" t="str">
        <v>Negative Growth</v>
      </c>
      <c r="C50">
        <f t="shared" si="2"/>
        <v>0</v>
      </c>
      <c r="D50">
        <f t="shared" si="3"/>
        <v>1</v>
      </c>
    </row>
    <row r="51" spans="1:4" x14ac:dyDescent="0.3">
      <c r="A51" t="str">
        <v>Coffee</v>
      </c>
      <c r="B51" t="str">
        <v>Positive Growth</v>
      </c>
      <c r="C51">
        <f t="shared" si="2"/>
        <v>1</v>
      </c>
      <c r="D51">
        <f t="shared" si="3"/>
        <v>0</v>
      </c>
    </row>
    <row r="52" spans="1:4" x14ac:dyDescent="0.3">
      <c r="A52" t="str">
        <v>Coffee</v>
      </c>
      <c r="B52" t="str">
        <v>Positive Growth</v>
      </c>
      <c r="C52">
        <f t="shared" si="2"/>
        <v>2</v>
      </c>
      <c r="D52">
        <f t="shared" si="3"/>
        <v>0</v>
      </c>
    </row>
    <row r="53" spans="1:4" x14ac:dyDescent="0.3">
      <c r="A53" t="str">
        <v>Copper</v>
      </c>
      <c r="B53" t="str">
        <v>Negative Growth</v>
      </c>
      <c r="C53">
        <f t="shared" si="2"/>
        <v>0</v>
      </c>
      <c r="D53">
        <f t="shared" si="3"/>
        <v>1</v>
      </c>
    </row>
    <row r="54" spans="1:4" x14ac:dyDescent="0.3">
      <c r="A54" t="str">
        <v>Copper</v>
      </c>
      <c r="B54" t="str">
        <v>Positive Growth</v>
      </c>
      <c r="C54">
        <f t="shared" si="2"/>
        <v>1</v>
      </c>
      <c r="D54">
        <f t="shared" si="3"/>
        <v>0</v>
      </c>
    </row>
    <row r="55" spans="1:4" x14ac:dyDescent="0.3">
      <c r="A55" t="str">
        <v>Copper</v>
      </c>
      <c r="B55" t="str">
        <v>Negative Growth</v>
      </c>
      <c r="C55">
        <f t="shared" si="2"/>
        <v>0</v>
      </c>
      <c r="D55">
        <f t="shared" si="3"/>
        <v>1</v>
      </c>
    </row>
    <row r="56" spans="1:4" x14ac:dyDescent="0.3">
      <c r="A56" t="str">
        <v>Copper</v>
      </c>
      <c r="B56" t="str">
        <v>Positive Growth</v>
      </c>
      <c r="C56">
        <f t="shared" si="2"/>
        <v>1</v>
      </c>
      <c r="D56">
        <f t="shared" si="3"/>
        <v>0</v>
      </c>
    </row>
    <row r="57" spans="1:4" x14ac:dyDescent="0.3">
      <c r="A57" t="str">
        <v>Copper</v>
      </c>
      <c r="B57" t="str">
        <v>Positive Growth</v>
      </c>
      <c r="C57">
        <f t="shared" si="2"/>
        <v>2</v>
      </c>
      <c r="D57">
        <f t="shared" si="3"/>
        <v>0</v>
      </c>
    </row>
    <row r="58" spans="1:4" x14ac:dyDescent="0.3">
      <c r="A58" t="str">
        <v>Copper</v>
      </c>
      <c r="B58" t="str">
        <v>Positive Growth</v>
      </c>
      <c r="C58">
        <f t="shared" si="2"/>
        <v>3</v>
      </c>
      <c r="D58">
        <f t="shared" si="3"/>
        <v>0</v>
      </c>
    </row>
    <row r="59" spans="1:4" x14ac:dyDescent="0.3">
      <c r="A59" t="str">
        <v>Copper</v>
      </c>
      <c r="B59" t="str">
        <v>Negative Growth</v>
      </c>
      <c r="C59">
        <f t="shared" si="2"/>
        <v>0</v>
      </c>
      <c r="D59">
        <f t="shared" si="3"/>
        <v>1</v>
      </c>
    </row>
    <row r="60" spans="1:4" x14ac:dyDescent="0.3">
      <c r="A60" t="str">
        <v>Copper</v>
      </c>
      <c r="B60" t="str">
        <v>Positive Growth</v>
      </c>
      <c r="C60">
        <f t="shared" si="2"/>
        <v>1</v>
      </c>
      <c r="D60">
        <f t="shared" si="3"/>
        <v>0</v>
      </c>
    </row>
    <row r="61" spans="1:4" x14ac:dyDescent="0.3">
      <c r="A61" t="str">
        <v>Copper</v>
      </c>
      <c r="B61" t="str">
        <v>Negative Growth</v>
      </c>
      <c r="C61">
        <f t="shared" si="2"/>
        <v>0</v>
      </c>
      <c r="D61">
        <f t="shared" si="3"/>
        <v>1</v>
      </c>
    </row>
    <row r="62" spans="1:4" x14ac:dyDescent="0.3">
      <c r="A62" t="str">
        <v>Copper</v>
      </c>
      <c r="B62" t="str">
        <v>Positive Growth</v>
      </c>
      <c r="C62">
        <f t="shared" si="2"/>
        <v>1</v>
      </c>
      <c r="D62">
        <f t="shared" si="3"/>
        <v>0</v>
      </c>
    </row>
    <row r="63" spans="1:4" x14ac:dyDescent="0.3">
      <c r="A63" t="str">
        <v>Copper</v>
      </c>
      <c r="B63" t="str">
        <v>Negative Growth</v>
      </c>
      <c r="C63">
        <f t="shared" si="2"/>
        <v>0</v>
      </c>
      <c r="D63">
        <f t="shared" si="3"/>
        <v>1</v>
      </c>
    </row>
    <row r="64" spans="1:4" x14ac:dyDescent="0.3">
      <c r="A64" t="str">
        <v>Copper</v>
      </c>
      <c r="B64" t="str">
        <v>Positive Growth</v>
      </c>
      <c r="C64">
        <f t="shared" si="2"/>
        <v>1</v>
      </c>
      <c r="D64">
        <f t="shared" si="3"/>
        <v>0</v>
      </c>
    </row>
    <row r="65" spans="1:4" x14ac:dyDescent="0.3">
      <c r="A65" t="str">
        <v>Copper</v>
      </c>
      <c r="B65" t="str">
        <v>Positive Growth</v>
      </c>
      <c r="C65">
        <f t="shared" si="2"/>
        <v>2</v>
      </c>
      <c r="D65">
        <f t="shared" si="3"/>
        <v>0</v>
      </c>
    </row>
    <row r="66" spans="1:4" x14ac:dyDescent="0.3">
      <c r="A66" t="str">
        <v>Copper</v>
      </c>
      <c r="B66" t="str">
        <v>Positive Growth</v>
      </c>
      <c r="C66">
        <f t="shared" si="2"/>
        <v>3</v>
      </c>
      <c r="D66">
        <f t="shared" si="3"/>
        <v>0</v>
      </c>
    </row>
    <row r="67" spans="1:4" x14ac:dyDescent="0.3">
      <c r="A67" t="str">
        <v>Copper</v>
      </c>
      <c r="B67" t="str">
        <v>Negative Growth</v>
      </c>
      <c r="C67">
        <f t="shared" si="2"/>
        <v>0</v>
      </c>
      <c r="D67">
        <f t="shared" si="3"/>
        <v>1</v>
      </c>
    </row>
    <row r="68" spans="1:4" x14ac:dyDescent="0.3">
      <c r="A68" t="str">
        <v>Copper</v>
      </c>
      <c r="B68" t="str">
        <v>Positive Growth</v>
      </c>
      <c r="C68">
        <f t="shared" ref="C68:C131" si="4">IF(A68&lt;&gt;A67,IF(B68="Positive Growth",1,0),IF(B68="Positive Growth",IF(B67="Positive Growth",C67+1,1),0))</f>
        <v>1</v>
      </c>
      <c r="D68">
        <f t="shared" ref="D68:D131" si="5">IF(A68&lt;&gt;A67,IF(B68="Negative Growth",1,0),IF(B68="Negative Growth",IF(B67="Negative Growth",D67+1,1),0))</f>
        <v>0</v>
      </c>
    </row>
    <row r="69" spans="1:4" x14ac:dyDescent="0.3">
      <c r="A69" t="str">
        <v>Copper</v>
      </c>
      <c r="B69" t="str">
        <v>Positive Growth</v>
      </c>
      <c r="C69">
        <f t="shared" si="4"/>
        <v>2</v>
      </c>
      <c r="D69">
        <f t="shared" si="5"/>
        <v>0</v>
      </c>
    </row>
    <row r="70" spans="1:4" x14ac:dyDescent="0.3">
      <c r="A70" t="str">
        <v>Copper</v>
      </c>
      <c r="B70" t="str">
        <v>Negative Growth</v>
      </c>
      <c r="C70">
        <f t="shared" si="4"/>
        <v>0</v>
      </c>
      <c r="D70">
        <f t="shared" si="5"/>
        <v>1</v>
      </c>
    </row>
    <row r="71" spans="1:4" x14ac:dyDescent="0.3">
      <c r="A71" t="str">
        <v>Copper</v>
      </c>
      <c r="B71" t="str">
        <v>Positive Growth</v>
      </c>
      <c r="C71">
        <f t="shared" si="4"/>
        <v>1</v>
      </c>
      <c r="D71">
        <f t="shared" si="5"/>
        <v>0</v>
      </c>
    </row>
    <row r="72" spans="1:4" x14ac:dyDescent="0.3">
      <c r="A72" t="str">
        <v>Copper</v>
      </c>
      <c r="B72" t="str">
        <v>Positive Growth</v>
      </c>
      <c r="C72">
        <f t="shared" si="4"/>
        <v>2</v>
      </c>
      <c r="D72">
        <f t="shared" si="5"/>
        <v>0</v>
      </c>
    </row>
    <row r="73" spans="1:4" x14ac:dyDescent="0.3">
      <c r="A73" t="str">
        <v>Copper</v>
      </c>
      <c r="B73" t="str">
        <v>Negative Growth</v>
      </c>
      <c r="C73">
        <f t="shared" si="4"/>
        <v>0</v>
      </c>
      <c r="D73">
        <f t="shared" si="5"/>
        <v>1</v>
      </c>
    </row>
    <row r="74" spans="1:4" x14ac:dyDescent="0.3">
      <c r="A74" t="str">
        <v>Copper</v>
      </c>
      <c r="B74" t="str">
        <v>Negative Growth</v>
      </c>
      <c r="C74">
        <f t="shared" si="4"/>
        <v>0</v>
      </c>
      <c r="D74">
        <f t="shared" si="5"/>
        <v>2</v>
      </c>
    </row>
    <row r="75" spans="1:4" x14ac:dyDescent="0.3">
      <c r="A75" t="str">
        <v>Copper</v>
      </c>
      <c r="B75" t="str">
        <v>Negative Growth</v>
      </c>
      <c r="C75">
        <f t="shared" si="4"/>
        <v>0</v>
      </c>
      <c r="D75">
        <f t="shared" si="5"/>
        <v>3</v>
      </c>
    </row>
    <row r="76" spans="1:4" x14ac:dyDescent="0.3">
      <c r="A76" t="str">
        <v>Copper</v>
      </c>
      <c r="B76" t="str">
        <v>Negative Growth</v>
      </c>
      <c r="C76">
        <f t="shared" si="4"/>
        <v>0</v>
      </c>
      <c r="D76">
        <f t="shared" si="5"/>
        <v>4</v>
      </c>
    </row>
    <row r="77" spans="1:4" x14ac:dyDescent="0.3">
      <c r="A77" t="str">
        <v>Copper</v>
      </c>
      <c r="B77" t="str">
        <v>Negative Growth</v>
      </c>
      <c r="C77">
        <f t="shared" si="4"/>
        <v>0</v>
      </c>
      <c r="D77">
        <f t="shared" si="5"/>
        <v>5</v>
      </c>
    </row>
    <row r="78" spans="1:4" x14ac:dyDescent="0.3">
      <c r="A78" t="str">
        <v>Copper</v>
      </c>
      <c r="B78" t="str">
        <v>Positive Growth</v>
      </c>
      <c r="C78">
        <f t="shared" si="4"/>
        <v>1</v>
      </c>
      <c r="D78">
        <f t="shared" si="5"/>
        <v>0</v>
      </c>
    </row>
    <row r="79" spans="1:4" x14ac:dyDescent="0.3">
      <c r="A79" t="str">
        <v>Copper</v>
      </c>
      <c r="B79" t="str">
        <v>Negative Growth</v>
      </c>
      <c r="C79">
        <f t="shared" si="4"/>
        <v>0</v>
      </c>
      <c r="D79">
        <f t="shared" si="5"/>
        <v>1</v>
      </c>
    </row>
    <row r="80" spans="1:4" x14ac:dyDescent="0.3">
      <c r="A80" t="str">
        <v>Copper</v>
      </c>
      <c r="B80" t="str">
        <v>Positive Growth</v>
      </c>
      <c r="C80">
        <f t="shared" si="4"/>
        <v>1</v>
      </c>
      <c r="D80">
        <f t="shared" si="5"/>
        <v>0</v>
      </c>
    </row>
    <row r="81" spans="1:4" x14ac:dyDescent="0.3">
      <c r="A81" t="str">
        <v>Copper</v>
      </c>
      <c r="B81" t="str">
        <v>Positive Growth</v>
      </c>
      <c r="C81">
        <f t="shared" si="4"/>
        <v>2</v>
      </c>
      <c r="D81">
        <f t="shared" si="5"/>
        <v>0</v>
      </c>
    </row>
    <row r="82" spans="1:4" x14ac:dyDescent="0.3">
      <c r="A82" t="str">
        <v>Copper</v>
      </c>
      <c r="B82" t="str">
        <v>Negative Growth</v>
      </c>
      <c r="C82">
        <f t="shared" si="4"/>
        <v>0</v>
      </c>
      <c r="D82">
        <f t="shared" si="5"/>
        <v>1</v>
      </c>
    </row>
    <row r="83" spans="1:4" x14ac:dyDescent="0.3">
      <c r="A83" t="str">
        <v>Copper</v>
      </c>
      <c r="B83" t="str">
        <v>Positive Growth</v>
      </c>
      <c r="C83">
        <f t="shared" si="4"/>
        <v>1</v>
      </c>
      <c r="D83">
        <f t="shared" si="5"/>
        <v>0</v>
      </c>
    </row>
    <row r="84" spans="1:4" x14ac:dyDescent="0.3">
      <c r="A84" t="str">
        <v>Copper</v>
      </c>
      <c r="B84" t="str">
        <v>Negative Growth</v>
      </c>
      <c r="C84">
        <f t="shared" si="4"/>
        <v>0</v>
      </c>
      <c r="D84">
        <f t="shared" si="5"/>
        <v>1</v>
      </c>
    </row>
    <row r="85" spans="1:4" x14ac:dyDescent="0.3">
      <c r="A85" t="str">
        <v>Copper</v>
      </c>
      <c r="B85" t="str">
        <v>Positive Growth</v>
      </c>
      <c r="C85">
        <f t="shared" si="4"/>
        <v>1</v>
      </c>
      <c r="D85">
        <f t="shared" si="5"/>
        <v>0</v>
      </c>
    </row>
    <row r="86" spans="1:4" x14ac:dyDescent="0.3">
      <c r="A86" t="str">
        <v>Copper</v>
      </c>
      <c r="B86" t="str">
        <v>Negative Growth</v>
      </c>
      <c r="C86">
        <f t="shared" si="4"/>
        <v>0</v>
      </c>
      <c r="D86">
        <f t="shared" si="5"/>
        <v>1</v>
      </c>
    </row>
    <row r="87" spans="1:4" x14ac:dyDescent="0.3">
      <c r="A87" t="str">
        <v>Copper</v>
      </c>
      <c r="B87" t="str">
        <v>Positive Growth</v>
      </c>
      <c r="C87">
        <f t="shared" si="4"/>
        <v>1</v>
      </c>
      <c r="D87">
        <f t="shared" si="5"/>
        <v>0</v>
      </c>
    </row>
    <row r="88" spans="1:4" x14ac:dyDescent="0.3">
      <c r="A88" t="str">
        <v>Copper</v>
      </c>
      <c r="B88" t="str">
        <v>Negative Growth</v>
      </c>
      <c r="C88">
        <f t="shared" si="4"/>
        <v>0</v>
      </c>
      <c r="D88">
        <f t="shared" si="5"/>
        <v>1</v>
      </c>
    </row>
    <row r="89" spans="1:4" x14ac:dyDescent="0.3">
      <c r="A89" t="str">
        <v>Copper</v>
      </c>
      <c r="B89" t="str">
        <v>Negative Growth</v>
      </c>
      <c r="C89">
        <f t="shared" si="4"/>
        <v>0</v>
      </c>
      <c r="D89">
        <f t="shared" si="5"/>
        <v>2</v>
      </c>
    </row>
    <row r="90" spans="1:4" x14ac:dyDescent="0.3">
      <c r="A90" t="str">
        <v>Copper</v>
      </c>
      <c r="B90" t="str">
        <v>Negative Growth</v>
      </c>
      <c r="C90">
        <f t="shared" si="4"/>
        <v>0</v>
      </c>
      <c r="D90">
        <f t="shared" si="5"/>
        <v>3</v>
      </c>
    </row>
    <row r="91" spans="1:4" x14ac:dyDescent="0.3">
      <c r="A91" t="str">
        <v>Copper</v>
      </c>
      <c r="B91" t="str">
        <v>Negative Growth</v>
      </c>
      <c r="C91">
        <f t="shared" si="4"/>
        <v>0</v>
      </c>
      <c r="D91">
        <f t="shared" si="5"/>
        <v>4</v>
      </c>
    </row>
    <row r="92" spans="1:4" x14ac:dyDescent="0.3">
      <c r="A92" t="str">
        <v>Copper</v>
      </c>
      <c r="B92" t="str">
        <v>Positive Growth</v>
      </c>
      <c r="C92">
        <f t="shared" si="4"/>
        <v>1</v>
      </c>
      <c r="D92">
        <f t="shared" si="5"/>
        <v>0</v>
      </c>
    </row>
    <row r="93" spans="1:4" x14ac:dyDescent="0.3">
      <c r="A93" t="str">
        <v>Copper</v>
      </c>
      <c r="B93" t="str">
        <v>Negative Growth</v>
      </c>
      <c r="C93">
        <f t="shared" si="4"/>
        <v>0</v>
      </c>
      <c r="D93">
        <f t="shared" si="5"/>
        <v>1</v>
      </c>
    </row>
    <row r="94" spans="1:4" x14ac:dyDescent="0.3">
      <c r="A94" t="str">
        <v>Copper</v>
      </c>
      <c r="B94" t="str">
        <v>Negative Growth</v>
      </c>
      <c r="C94">
        <f t="shared" si="4"/>
        <v>0</v>
      </c>
      <c r="D94">
        <f t="shared" si="5"/>
        <v>2</v>
      </c>
    </row>
    <row r="95" spans="1:4" x14ac:dyDescent="0.3">
      <c r="A95" t="str">
        <v>Copper</v>
      </c>
      <c r="B95" t="str">
        <v>Positive Growth</v>
      </c>
      <c r="C95">
        <f t="shared" si="4"/>
        <v>1</v>
      </c>
      <c r="D95">
        <f t="shared" si="5"/>
        <v>0</v>
      </c>
    </row>
    <row r="96" spans="1:4" x14ac:dyDescent="0.3">
      <c r="A96" t="str">
        <v>Copper</v>
      </c>
      <c r="B96" t="str">
        <v>Positive Growth</v>
      </c>
      <c r="C96">
        <f t="shared" si="4"/>
        <v>2</v>
      </c>
      <c r="D96">
        <f t="shared" si="5"/>
        <v>0</v>
      </c>
    </row>
    <row r="97" spans="1:4" x14ac:dyDescent="0.3">
      <c r="A97" t="str">
        <v>Copper</v>
      </c>
      <c r="B97" t="str">
        <v>Positive Growth</v>
      </c>
      <c r="C97">
        <f t="shared" si="4"/>
        <v>3</v>
      </c>
      <c r="D97">
        <f t="shared" si="5"/>
        <v>0</v>
      </c>
    </row>
    <row r="98" spans="1:4" x14ac:dyDescent="0.3">
      <c r="A98" t="str">
        <v>Copper</v>
      </c>
      <c r="B98" t="str">
        <v>Positive Growth</v>
      </c>
      <c r="C98">
        <f t="shared" si="4"/>
        <v>4</v>
      </c>
      <c r="D98">
        <f t="shared" si="5"/>
        <v>0</v>
      </c>
    </row>
    <row r="99" spans="1:4" x14ac:dyDescent="0.3">
      <c r="A99" t="str">
        <v>Copper</v>
      </c>
      <c r="B99" t="str">
        <v>Positive Growth</v>
      </c>
      <c r="C99">
        <f t="shared" si="4"/>
        <v>5</v>
      </c>
      <c r="D99">
        <f t="shared" si="5"/>
        <v>0</v>
      </c>
    </row>
    <row r="100" spans="1:4" x14ac:dyDescent="0.3">
      <c r="A100" t="str">
        <v>Copper</v>
      </c>
      <c r="B100" t="str">
        <v>Positive Growth</v>
      </c>
      <c r="C100">
        <f t="shared" si="4"/>
        <v>6</v>
      </c>
      <c r="D100">
        <f t="shared" si="5"/>
        <v>0</v>
      </c>
    </row>
    <row r="101" spans="1:4" x14ac:dyDescent="0.3">
      <c r="A101" t="str">
        <v>Copper</v>
      </c>
      <c r="B101" t="str">
        <v>Negative Growth</v>
      </c>
      <c r="C101">
        <f t="shared" si="4"/>
        <v>0</v>
      </c>
      <c r="D101">
        <f t="shared" si="5"/>
        <v>1</v>
      </c>
    </row>
    <row r="102" spans="1:4" x14ac:dyDescent="0.3">
      <c r="A102" t="str">
        <v>Copper</v>
      </c>
      <c r="B102" t="str">
        <v>Positive Growth</v>
      </c>
      <c r="C102">
        <f t="shared" si="4"/>
        <v>1</v>
      </c>
      <c r="D102">
        <f t="shared" si="5"/>
        <v>0</v>
      </c>
    </row>
    <row r="103" spans="1:4" x14ac:dyDescent="0.3">
      <c r="A103" t="str">
        <v>Copper</v>
      </c>
      <c r="B103" t="str">
        <v>Positive Growth</v>
      </c>
      <c r="C103">
        <f t="shared" si="4"/>
        <v>2</v>
      </c>
      <c r="D103">
        <f t="shared" si="5"/>
        <v>0</v>
      </c>
    </row>
    <row r="104" spans="1:4" x14ac:dyDescent="0.3">
      <c r="A104" t="str">
        <v>Copper</v>
      </c>
      <c r="B104" t="str">
        <v>Negative Growth</v>
      </c>
      <c r="C104">
        <f t="shared" si="4"/>
        <v>0</v>
      </c>
      <c r="D104">
        <f t="shared" si="5"/>
        <v>1</v>
      </c>
    </row>
    <row r="105" spans="1:4" x14ac:dyDescent="0.3">
      <c r="A105" t="str">
        <v>Copper</v>
      </c>
      <c r="B105" t="str">
        <v>Positive Growth</v>
      </c>
      <c r="C105">
        <f t="shared" si="4"/>
        <v>1</v>
      </c>
      <c r="D105">
        <f t="shared" si="5"/>
        <v>0</v>
      </c>
    </row>
    <row r="106" spans="1:4" x14ac:dyDescent="0.3">
      <c r="A106" t="str">
        <v>Copper</v>
      </c>
      <c r="B106" t="str">
        <v>Negative Growth</v>
      </c>
      <c r="C106">
        <f t="shared" si="4"/>
        <v>0</v>
      </c>
      <c r="D106">
        <f t="shared" si="5"/>
        <v>1</v>
      </c>
    </row>
    <row r="107" spans="1:4" x14ac:dyDescent="0.3">
      <c r="A107" t="str">
        <v>Copper</v>
      </c>
      <c r="B107" t="str">
        <v>Negative Growth</v>
      </c>
      <c r="C107">
        <f t="shared" si="4"/>
        <v>0</v>
      </c>
      <c r="D107">
        <f t="shared" si="5"/>
        <v>2</v>
      </c>
    </row>
    <row r="108" spans="1:4" x14ac:dyDescent="0.3">
      <c r="A108" t="str">
        <v>Copper</v>
      </c>
      <c r="B108" t="str">
        <v>Negative Growth</v>
      </c>
      <c r="C108">
        <f t="shared" si="4"/>
        <v>0</v>
      </c>
      <c r="D108">
        <f t="shared" si="5"/>
        <v>3</v>
      </c>
    </row>
    <row r="109" spans="1:4" x14ac:dyDescent="0.3">
      <c r="A109" t="str">
        <v>Copper</v>
      </c>
      <c r="B109" t="str">
        <v>Positive Growth</v>
      </c>
      <c r="C109">
        <f t="shared" si="4"/>
        <v>1</v>
      </c>
      <c r="D109">
        <f t="shared" si="5"/>
        <v>0</v>
      </c>
    </row>
    <row r="110" spans="1:4" x14ac:dyDescent="0.3">
      <c r="A110" t="str">
        <v>Copper</v>
      </c>
      <c r="B110" t="str">
        <v>Positive Growth</v>
      </c>
      <c r="C110">
        <f t="shared" si="4"/>
        <v>2</v>
      </c>
      <c r="D110">
        <f t="shared" si="5"/>
        <v>0</v>
      </c>
    </row>
    <row r="111" spans="1:4" x14ac:dyDescent="0.3">
      <c r="A111" t="str">
        <v>Copper</v>
      </c>
      <c r="B111" t="str">
        <v>Negative Growth</v>
      </c>
      <c r="C111">
        <f t="shared" si="4"/>
        <v>0</v>
      </c>
      <c r="D111">
        <f t="shared" si="5"/>
        <v>1</v>
      </c>
    </row>
    <row r="112" spans="1:4" x14ac:dyDescent="0.3">
      <c r="A112" t="str">
        <v>Copper</v>
      </c>
      <c r="B112" t="str">
        <v>Positive Growth</v>
      </c>
      <c r="C112">
        <f t="shared" si="4"/>
        <v>1</v>
      </c>
      <c r="D112">
        <f t="shared" si="5"/>
        <v>0</v>
      </c>
    </row>
    <row r="113" spans="1:4" x14ac:dyDescent="0.3">
      <c r="A113" t="str">
        <v>Copper</v>
      </c>
      <c r="B113" t="str">
        <v>Positive Growth</v>
      </c>
      <c r="C113">
        <f t="shared" si="4"/>
        <v>2</v>
      </c>
      <c r="D113">
        <f t="shared" si="5"/>
        <v>0</v>
      </c>
    </row>
    <row r="114" spans="1:4" x14ac:dyDescent="0.3">
      <c r="A114" t="str">
        <v>Copper</v>
      </c>
      <c r="B114" t="str">
        <v>Positive Growth</v>
      </c>
      <c r="C114">
        <f t="shared" si="4"/>
        <v>3</v>
      </c>
      <c r="D114">
        <f t="shared" si="5"/>
        <v>0</v>
      </c>
    </row>
    <row r="115" spans="1:4" x14ac:dyDescent="0.3">
      <c r="A115" t="str">
        <v>Copper</v>
      </c>
      <c r="B115" t="str">
        <v>Negative Growth</v>
      </c>
      <c r="C115">
        <f t="shared" si="4"/>
        <v>0</v>
      </c>
      <c r="D115">
        <f t="shared" si="5"/>
        <v>1</v>
      </c>
    </row>
    <row r="116" spans="1:4" x14ac:dyDescent="0.3">
      <c r="A116" t="str">
        <v>Copper</v>
      </c>
      <c r="B116" t="str">
        <v>Positive Growth</v>
      </c>
      <c r="C116">
        <f t="shared" si="4"/>
        <v>1</v>
      </c>
      <c r="D116">
        <f t="shared" si="5"/>
        <v>0</v>
      </c>
    </row>
    <row r="117" spans="1:4" x14ac:dyDescent="0.3">
      <c r="A117" t="str">
        <v>Copper</v>
      </c>
      <c r="B117" t="str">
        <v>Positive Growth</v>
      </c>
      <c r="C117">
        <f t="shared" si="4"/>
        <v>2</v>
      </c>
      <c r="D117">
        <f t="shared" si="5"/>
        <v>0</v>
      </c>
    </row>
    <row r="118" spans="1:4" x14ac:dyDescent="0.3">
      <c r="A118" t="str">
        <v>Corn</v>
      </c>
      <c r="B118" t="str">
        <v>Negative Growth</v>
      </c>
      <c r="C118">
        <f t="shared" si="4"/>
        <v>0</v>
      </c>
      <c r="D118">
        <f t="shared" si="5"/>
        <v>1</v>
      </c>
    </row>
    <row r="119" spans="1:4" x14ac:dyDescent="0.3">
      <c r="A119" t="str">
        <v>Corn</v>
      </c>
      <c r="B119" t="str">
        <v>Positive Growth</v>
      </c>
      <c r="C119">
        <f t="shared" si="4"/>
        <v>1</v>
      </c>
      <c r="D119">
        <f t="shared" si="5"/>
        <v>0</v>
      </c>
    </row>
    <row r="120" spans="1:4" x14ac:dyDescent="0.3">
      <c r="A120" t="str">
        <v>Corn</v>
      </c>
      <c r="B120" t="str">
        <v>Positive Growth</v>
      </c>
      <c r="C120">
        <f t="shared" si="4"/>
        <v>2</v>
      </c>
      <c r="D120">
        <f t="shared" si="5"/>
        <v>0</v>
      </c>
    </row>
    <row r="121" spans="1:4" x14ac:dyDescent="0.3">
      <c r="A121" t="str">
        <v>Corn</v>
      </c>
      <c r="B121" t="str">
        <v>Positive Growth</v>
      </c>
      <c r="C121">
        <f t="shared" si="4"/>
        <v>3</v>
      </c>
      <c r="D121">
        <f t="shared" si="5"/>
        <v>0</v>
      </c>
    </row>
    <row r="122" spans="1:4" x14ac:dyDescent="0.3">
      <c r="A122" t="str">
        <v>Corn</v>
      </c>
      <c r="B122" t="str">
        <v>Positive Growth</v>
      </c>
      <c r="C122">
        <f t="shared" si="4"/>
        <v>4</v>
      </c>
      <c r="D122">
        <f t="shared" si="5"/>
        <v>0</v>
      </c>
    </row>
    <row r="123" spans="1:4" x14ac:dyDescent="0.3">
      <c r="A123" t="str">
        <v>Corn</v>
      </c>
      <c r="B123" t="str">
        <v>Negative Growth</v>
      </c>
      <c r="C123">
        <f t="shared" si="4"/>
        <v>0</v>
      </c>
      <c r="D123">
        <f t="shared" si="5"/>
        <v>1</v>
      </c>
    </row>
    <row r="124" spans="1:4" x14ac:dyDescent="0.3">
      <c r="A124" t="str">
        <v>Corn</v>
      </c>
      <c r="B124" t="str">
        <v>Positive Growth</v>
      </c>
      <c r="C124">
        <f t="shared" si="4"/>
        <v>1</v>
      </c>
      <c r="D124">
        <f t="shared" si="5"/>
        <v>0</v>
      </c>
    </row>
    <row r="125" spans="1:4" x14ac:dyDescent="0.3">
      <c r="A125" t="str">
        <v>Corn</v>
      </c>
      <c r="B125" t="str">
        <v>Negative Growth</v>
      </c>
      <c r="C125">
        <f t="shared" si="4"/>
        <v>0</v>
      </c>
      <c r="D125">
        <f t="shared" si="5"/>
        <v>1</v>
      </c>
    </row>
    <row r="126" spans="1:4" x14ac:dyDescent="0.3">
      <c r="A126" t="str">
        <v>Corn</v>
      </c>
      <c r="B126" t="str">
        <v>Negative Growth</v>
      </c>
      <c r="C126">
        <f t="shared" si="4"/>
        <v>0</v>
      </c>
      <c r="D126">
        <f t="shared" si="5"/>
        <v>2</v>
      </c>
    </row>
    <row r="127" spans="1:4" x14ac:dyDescent="0.3">
      <c r="A127" t="str">
        <v>Corn</v>
      </c>
      <c r="B127" t="str">
        <v>Positive Growth</v>
      </c>
      <c r="C127">
        <f t="shared" si="4"/>
        <v>1</v>
      </c>
      <c r="D127">
        <f t="shared" si="5"/>
        <v>0</v>
      </c>
    </row>
    <row r="128" spans="1:4" x14ac:dyDescent="0.3">
      <c r="A128" t="str">
        <v>Corn</v>
      </c>
      <c r="B128" t="str">
        <v>Positive Growth</v>
      </c>
      <c r="C128">
        <f t="shared" si="4"/>
        <v>2</v>
      </c>
      <c r="D128">
        <f t="shared" si="5"/>
        <v>0</v>
      </c>
    </row>
    <row r="129" spans="1:4" x14ac:dyDescent="0.3">
      <c r="A129" t="str">
        <v>Corn</v>
      </c>
      <c r="B129" t="str">
        <v>Negative Growth</v>
      </c>
      <c r="C129">
        <f t="shared" si="4"/>
        <v>0</v>
      </c>
      <c r="D129">
        <f t="shared" si="5"/>
        <v>1</v>
      </c>
    </row>
    <row r="130" spans="1:4" x14ac:dyDescent="0.3">
      <c r="A130" t="str">
        <v>Corn</v>
      </c>
      <c r="B130" t="str">
        <v>Positive Growth</v>
      </c>
      <c r="C130">
        <f t="shared" si="4"/>
        <v>1</v>
      </c>
      <c r="D130">
        <f t="shared" si="5"/>
        <v>0</v>
      </c>
    </row>
    <row r="131" spans="1:4" x14ac:dyDescent="0.3">
      <c r="A131" t="str">
        <v>Corn</v>
      </c>
      <c r="B131" t="str">
        <v>Positive Growth</v>
      </c>
      <c r="C131">
        <f t="shared" si="4"/>
        <v>2</v>
      </c>
      <c r="D131">
        <f t="shared" si="5"/>
        <v>0</v>
      </c>
    </row>
    <row r="132" spans="1:4" x14ac:dyDescent="0.3">
      <c r="A132" t="str">
        <v>Corn</v>
      </c>
      <c r="B132" t="str">
        <v>Positive Growth</v>
      </c>
      <c r="C132">
        <f t="shared" ref="C132:C195" si="6">IF(A132&lt;&gt;A131,IF(B132="Positive Growth",1,0),IF(B132="Positive Growth",IF(B131="Positive Growth",C131+1,1),0))</f>
        <v>3</v>
      </c>
      <c r="D132">
        <f t="shared" ref="D132:D195" si="7">IF(A132&lt;&gt;A131,IF(B132="Negative Growth",1,0),IF(B132="Negative Growth",IF(B131="Negative Growth",D131+1,1),0))</f>
        <v>0</v>
      </c>
    </row>
    <row r="133" spans="1:4" x14ac:dyDescent="0.3">
      <c r="A133" t="str">
        <v>Corn</v>
      </c>
      <c r="B133" t="str">
        <v>Negative Growth</v>
      </c>
      <c r="C133">
        <f t="shared" si="6"/>
        <v>0</v>
      </c>
      <c r="D133">
        <f t="shared" si="7"/>
        <v>1</v>
      </c>
    </row>
    <row r="134" spans="1:4" x14ac:dyDescent="0.3">
      <c r="A134" t="str">
        <v>Corn</v>
      </c>
      <c r="B134" t="str">
        <v>Negative Growth</v>
      </c>
      <c r="C134">
        <f t="shared" si="6"/>
        <v>0</v>
      </c>
      <c r="D134">
        <f t="shared" si="7"/>
        <v>2</v>
      </c>
    </row>
    <row r="135" spans="1:4" x14ac:dyDescent="0.3">
      <c r="A135" t="str">
        <v>Corn</v>
      </c>
      <c r="B135" t="str">
        <v>Negative Growth</v>
      </c>
      <c r="C135">
        <f t="shared" si="6"/>
        <v>0</v>
      </c>
      <c r="D135">
        <f t="shared" si="7"/>
        <v>3</v>
      </c>
    </row>
    <row r="136" spans="1:4" x14ac:dyDescent="0.3">
      <c r="A136" t="str">
        <v>Corn</v>
      </c>
      <c r="B136" t="str">
        <v>Positive Growth</v>
      </c>
      <c r="C136">
        <f t="shared" si="6"/>
        <v>1</v>
      </c>
      <c r="D136">
        <f t="shared" si="7"/>
        <v>0</v>
      </c>
    </row>
    <row r="137" spans="1:4" x14ac:dyDescent="0.3">
      <c r="A137" t="str">
        <v>Corn</v>
      </c>
      <c r="B137" t="str">
        <v>Positive Growth</v>
      </c>
      <c r="C137">
        <f t="shared" si="6"/>
        <v>2</v>
      </c>
      <c r="D137">
        <f t="shared" si="7"/>
        <v>0</v>
      </c>
    </row>
    <row r="138" spans="1:4" x14ac:dyDescent="0.3">
      <c r="A138" t="str">
        <v>Corn</v>
      </c>
      <c r="B138" t="str">
        <v>Positive Growth</v>
      </c>
      <c r="C138">
        <f t="shared" si="6"/>
        <v>3</v>
      </c>
      <c r="D138">
        <f t="shared" si="7"/>
        <v>0</v>
      </c>
    </row>
    <row r="139" spans="1:4" x14ac:dyDescent="0.3">
      <c r="A139" t="str">
        <v>Corn</v>
      </c>
      <c r="B139" t="str">
        <v>Negative Growth</v>
      </c>
      <c r="C139">
        <f t="shared" si="6"/>
        <v>0</v>
      </c>
      <c r="D139">
        <f t="shared" si="7"/>
        <v>1</v>
      </c>
    </row>
    <row r="140" spans="1:4" x14ac:dyDescent="0.3">
      <c r="A140" t="str">
        <v>Corn</v>
      </c>
      <c r="B140" t="str">
        <v>Negative Growth</v>
      </c>
      <c r="C140">
        <f t="shared" si="6"/>
        <v>0</v>
      </c>
      <c r="D140">
        <f t="shared" si="7"/>
        <v>2</v>
      </c>
    </row>
    <row r="141" spans="1:4" x14ac:dyDescent="0.3">
      <c r="A141" t="str">
        <v>Corn</v>
      </c>
      <c r="B141" t="str">
        <v>Positive Growth</v>
      </c>
      <c r="C141">
        <f t="shared" si="6"/>
        <v>1</v>
      </c>
      <c r="D141">
        <f t="shared" si="7"/>
        <v>0</v>
      </c>
    </row>
    <row r="142" spans="1:4" x14ac:dyDescent="0.3">
      <c r="A142" t="str">
        <v>Corn</v>
      </c>
      <c r="B142" t="str">
        <v>Negative Growth</v>
      </c>
      <c r="C142">
        <f t="shared" si="6"/>
        <v>0</v>
      </c>
      <c r="D142">
        <f t="shared" si="7"/>
        <v>1</v>
      </c>
    </row>
    <row r="143" spans="1:4" x14ac:dyDescent="0.3">
      <c r="A143" t="str">
        <v>Corn</v>
      </c>
      <c r="B143" t="str">
        <v>Negative Growth</v>
      </c>
      <c r="C143">
        <f t="shared" si="6"/>
        <v>0</v>
      </c>
      <c r="D143">
        <f t="shared" si="7"/>
        <v>2</v>
      </c>
    </row>
    <row r="144" spans="1:4" x14ac:dyDescent="0.3">
      <c r="A144" t="str">
        <v>Corn</v>
      </c>
      <c r="B144" t="str">
        <v>Negative Growth</v>
      </c>
      <c r="C144">
        <f t="shared" si="6"/>
        <v>0</v>
      </c>
      <c r="D144">
        <f t="shared" si="7"/>
        <v>3</v>
      </c>
    </row>
    <row r="145" spans="1:4" x14ac:dyDescent="0.3">
      <c r="A145" t="str">
        <v>Corn</v>
      </c>
      <c r="B145" t="str">
        <v>Positive Growth</v>
      </c>
      <c r="C145">
        <f t="shared" si="6"/>
        <v>1</v>
      </c>
      <c r="D145">
        <f t="shared" si="7"/>
        <v>0</v>
      </c>
    </row>
    <row r="146" spans="1:4" x14ac:dyDescent="0.3">
      <c r="A146" t="str">
        <v>Corn</v>
      </c>
      <c r="B146" t="str">
        <v>Positive Growth</v>
      </c>
      <c r="C146">
        <f t="shared" si="6"/>
        <v>2</v>
      </c>
      <c r="D146">
        <f t="shared" si="7"/>
        <v>0</v>
      </c>
    </row>
    <row r="147" spans="1:4" x14ac:dyDescent="0.3">
      <c r="A147" t="str">
        <v>Corn</v>
      </c>
      <c r="B147" t="str">
        <v>Negative Growth</v>
      </c>
      <c r="C147">
        <f t="shared" si="6"/>
        <v>0</v>
      </c>
      <c r="D147">
        <f t="shared" si="7"/>
        <v>1</v>
      </c>
    </row>
    <row r="148" spans="1:4" x14ac:dyDescent="0.3">
      <c r="A148" t="str">
        <v>Corn</v>
      </c>
      <c r="B148" t="str">
        <v>Negative Growth</v>
      </c>
      <c r="C148">
        <f t="shared" si="6"/>
        <v>0</v>
      </c>
      <c r="D148">
        <f t="shared" si="7"/>
        <v>2</v>
      </c>
    </row>
    <row r="149" spans="1:4" x14ac:dyDescent="0.3">
      <c r="A149" t="str">
        <v>Corn</v>
      </c>
      <c r="B149" t="str">
        <v>Positive Growth</v>
      </c>
      <c r="C149">
        <f t="shared" si="6"/>
        <v>1</v>
      </c>
      <c r="D149">
        <f t="shared" si="7"/>
        <v>0</v>
      </c>
    </row>
    <row r="150" spans="1:4" x14ac:dyDescent="0.3">
      <c r="A150" t="str">
        <v>Corn</v>
      </c>
      <c r="B150" t="str">
        <v>Negative Growth</v>
      </c>
      <c r="C150">
        <f t="shared" si="6"/>
        <v>0</v>
      </c>
      <c r="D150">
        <f t="shared" si="7"/>
        <v>1</v>
      </c>
    </row>
    <row r="151" spans="1:4" x14ac:dyDescent="0.3">
      <c r="A151" t="str">
        <v>Corn</v>
      </c>
      <c r="B151" t="str">
        <v>Positive Growth</v>
      </c>
      <c r="C151">
        <f t="shared" si="6"/>
        <v>1</v>
      </c>
      <c r="D151">
        <f t="shared" si="7"/>
        <v>0</v>
      </c>
    </row>
    <row r="152" spans="1:4" x14ac:dyDescent="0.3">
      <c r="A152" t="str">
        <v>Corn</v>
      </c>
      <c r="B152" t="str">
        <v>Negative Growth</v>
      </c>
      <c r="C152">
        <f t="shared" si="6"/>
        <v>0</v>
      </c>
      <c r="D152">
        <f t="shared" si="7"/>
        <v>1</v>
      </c>
    </row>
    <row r="153" spans="1:4" x14ac:dyDescent="0.3">
      <c r="A153" t="str">
        <v>Corn</v>
      </c>
      <c r="B153" t="str">
        <v>Positive Growth</v>
      </c>
      <c r="C153">
        <f t="shared" si="6"/>
        <v>1</v>
      </c>
      <c r="D153">
        <f t="shared" si="7"/>
        <v>0</v>
      </c>
    </row>
    <row r="154" spans="1:4" x14ac:dyDescent="0.3">
      <c r="A154" t="str">
        <v>Corn</v>
      </c>
      <c r="B154" t="str">
        <v>Negative Growth</v>
      </c>
      <c r="C154">
        <f t="shared" si="6"/>
        <v>0</v>
      </c>
      <c r="D154">
        <f t="shared" si="7"/>
        <v>1</v>
      </c>
    </row>
    <row r="155" spans="1:4" x14ac:dyDescent="0.3">
      <c r="A155" t="str">
        <v>Corn</v>
      </c>
      <c r="B155" t="str">
        <v>Positive Growth</v>
      </c>
      <c r="C155">
        <f t="shared" si="6"/>
        <v>1</v>
      </c>
      <c r="D155">
        <f t="shared" si="7"/>
        <v>0</v>
      </c>
    </row>
    <row r="156" spans="1:4" x14ac:dyDescent="0.3">
      <c r="A156" t="str">
        <v>Corn</v>
      </c>
      <c r="B156" t="str">
        <v>Negative Growth</v>
      </c>
      <c r="C156">
        <f t="shared" si="6"/>
        <v>0</v>
      </c>
      <c r="D156">
        <f t="shared" si="7"/>
        <v>1</v>
      </c>
    </row>
    <row r="157" spans="1:4" x14ac:dyDescent="0.3">
      <c r="A157" t="str">
        <v>Corn</v>
      </c>
      <c r="B157" t="str">
        <v>Negative Growth</v>
      </c>
      <c r="C157">
        <f t="shared" si="6"/>
        <v>0</v>
      </c>
      <c r="D157">
        <f t="shared" si="7"/>
        <v>2</v>
      </c>
    </row>
    <row r="158" spans="1:4" x14ac:dyDescent="0.3">
      <c r="A158" t="str">
        <v>Corn</v>
      </c>
      <c r="B158" t="str">
        <v>Positive Growth</v>
      </c>
      <c r="C158">
        <f t="shared" si="6"/>
        <v>1</v>
      </c>
      <c r="D158">
        <f t="shared" si="7"/>
        <v>0</v>
      </c>
    </row>
    <row r="159" spans="1:4" x14ac:dyDescent="0.3">
      <c r="A159" t="str">
        <v>Corn</v>
      </c>
      <c r="B159" t="str">
        <v>Negative Growth</v>
      </c>
      <c r="C159">
        <f t="shared" si="6"/>
        <v>0</v>
      </c>
      <c r="D159">
        <f t="shared" si="7"/>
        <v>1</v>
      </c>
    </row>
    <row r="160" spans="1:4" x14ac:dyDescent="0.3">
      <c r="A160" t="str">
        <v>Corn</v>
      </c>
      <c r="B160" t="str">
        <v>Positive Growth</v>
      </c>
      <c r="C160">
        <f t="shared" si="6"/>
        <v>1</v>
      </c>
      <c r="D160">
        <f t="shared" si="7"/>
        <v>0</v>
      </c>
    </row>
    <row r="161" spans="1:4" x14ac:dyDescent="0.3">
      <c r="A161" t="str">
        <v>Corn</v>
      </c>
      <c r="B161" t="str">
        <v>Positive Growth</v>
      </c>
      <c r="C161">
        <f t="shared" si="6"/>
        <v>2</v>
      </c>
      <c r="D161">
        <f t="shared" si="7"/>
        <v>0</v>
      </c>
    </row>
    <row r="162" spans="1:4" x14ac:dyDescent="0.3">
      <c r="A162" t="str">
        <v>Corn</v>
      </c>
      <c r="B162" t="str">
        <v>Negative Growth</v>
      </c>
      <c r="C162">
        <f t="shared" si="6"/>
        <v>0</v>
      </c>
      <c r="D162">
        <f t="shared" si="7"/>
        <v>1</v>
      </c>
    </row>
    <row r="163" spans="1:4" x14ac:dyDescent="0.3">
      <c r="A163" t="str">
        <v>Corn</v>
      </c>
      <c r="B163" t="str">
        <v>Positive Growth</v>
      </c>
      <c r="C163">
        <f t="shared" si="6"/>
        <v>1</v>
      </c>
      <c r="D163">
        <f t="shared" si="7"/>
        <v>0</v>
      </c>
    </row>
    <row r="164" spans="1:4" x14ac:dyDescent="0.3">
      <c r="A164" t="str">
        <v>Corn</v>
      </c>
      <c r="B164" t="str">
        <v>Positive Growth</v>
      </c>
      <c r="C164">
        <f t="shared" si="6"/>
        <v>2</v>
      </c>
      <c r="D164">
        <f t="shared" si="7"/>
        <v>0</v>
      </c>
    </row>
    <row r="165" spans="1:4" x14ac:dyDescent="0.3">
      <c r="A165" t="str">
        <v>Corn</v>
      </c>
      <c r="B165" t="str">
        <v>Positive Growth</v>
      </c>
      <c r="C165">
        <f t="shared" si="6"/>
        <v>3</v>
      </c>
      <c r="D165">
        <f t="shared" si="7"/>
        <v>0</v>
      </c>
    </row>
    <row r="166" spans="1:4" x14ac:dyDescent="0.3">
      <c r="A166" t="str">
        <v>Corn</v>
      </c>
      <c r="B166" t="str">
        <v>Negative Growth</v>
      </c>
      <c r="C166">
        <f t="shared" si="6"/>
        <v>0</v>
      </c>
      <c r="D166">
        <f t="shared" si="7"/>
        <v>1</v>
      </c>
    </row>
    <row r="167" spans="1:4" x14ac:dyDescent="0.3">
      <c r="A167" t="str">
        <v>Corn</v>
      </c>
      <c r="B167" t="str">
        <v>Positive Growth</v>
      </c>
      <c r="C167">
        <f t="shared" si="6"/>
        <v>1</v>
      </c>
      <c r="D167">
        <f t="shared" si="7"/>
        <v>0</v>
      </c>
    </row>
    <row r="168" spans="1:4" x14ac:dyDescent="0.3">
      <c r="A168" t="str">
        <v>Corn</v>
      </c>
      <c r="B168" t="str">
        <v>Positive Growth</v>
      </c>
      <c r="C168">
        <f t="shared" si="6"/>
        <v>2</v>
      </c>
      <c r="D168">
        <f t="shared" si="7"/>
        <v>0</v>
      </c>
    </row>
    <row r="169" spans="1:4" x14ac:dyDescent="0.3">
      <c r="A169" t="str">
        <v>Corn</v>
      </c>
      <c r="B169" t="str">
        <v>Positive Growth</v>
      </c>
      <c r="C169">
        <f t="shared" si="6"/>
        <v>3</v>
      </c>
      <c r="D169">
        <f t="shared" si="7"/>
        <v>0</v>
      </c>
    </row>
    <row r="170" spans="1:4" x14ac:dyDescent="0.3">
      <c r="A170" t="str">
        <v>Corn</v>
      </c>
      <c r="B170" t="str">
        <v>Positive Growth</v>
      </c>
      <c r="C170">
        <f t="shared" si="6"/>
        <v>4</v>
      </c>
      <c r="D170">
        <f t="shared" si="7"/>
        <v>0</v>
      </c>
    </row>
    <row r="171" spans="1:4" x14ac:dyDescent="0.3">
      <c r="A171" t="str">
        <v>Corn</v>
      </c>
      <c r="B171" t="str">
        <v>Negative Growth</v>
      </c>
      <c r="C171">
        <f t="shared" si="6"/>
        <v>0</v>
      </c>
      <c r="D171">
        <f t="shared" si="7"/>
        <v>1</v>
      </c>
    </row>
    <row r="172" spans="1:4" x14ac:dyDescent="0.3">
      <c r="A172" t="str">
        <v>Corn</v>
      </c>
      <c r="B172" t="str">
        <v>Negative Growth</v>
      </c>
      <c r="C172">
        <f t="shared" si="6"/>
        <v>0</v>
      </c>
      <c r="D172">
        <f t="shared" si="7"/>
        <v>2</v>
      </c>
    </row>
    <row r="173" spans="1:4" x14ac:dyDescent="0.3">
      <c r="A173" t="str">
        <v>Corn</v>
      </c>
      <c r="B173" t="str">
        <v>Negative Growth</v>
      </c>
      <c r="C173">
        <f t="shared" si="6"/>
        <v>0</v>
      </c>
      <c r="D173">
        <f t="shared" si="7"/>
        <v>3</v>
      </c>
    </row>
    <row r="174" spans="1:4" x14ac:dyDescent="0.3">
      <c r="A174" t="str">
        <v>Corn</v>
      </c>
      <c r="B174" t="str">
        <v>Negative Growth</v>
      </c>
      <c r="C174">
        <f t="shared" si="6"/>
        <v>0</v>
      </c>
      <c r="D174">
        <f t="shared" si="7"/>
        <v>4</v>
      </c>
    </row>
    <row r="175" spans="1:4" x14ac:dyDescent="0.3">
      <c r="A175" t="str">
        <v>Corn</v>
      </c>
      <c r="B175" t="str">
        <v>Negative Growth</v>
      </c>
      <c r="C175">
        <f t="shared" si="6"/>
        <v>0</v>
      </c>
      <c r="D175">
        <f t="shared" si="7"/>
        <v>5</v>
      </c>
    </row>
    <row r="176" spans="1:4" x14ac:dyDescent="0.3">
      <c r="A176" t="str">
        <v>Corn</v>
      </c>
      <c r="B176" t="str">
        <v>Positive Growth</v>
      </c>
      <c r="C176">
        <f t="shared" si="6"/>
        <v>1</v>
      </c>
      <c r="D176">
        <f t="shared" si="7"/>
        <v>0</v>
      </c>
    </row>
    <row r="177" spans="1:4" x14ac:dyDescent="0.3">
      <c r="A177" t="str">
        <v>Corn</v>
      </c>
      <c r="B177" t="str">
        <v>Positive Growth</v>
      </c>
      <c r="C177">
        <f t="shared" si="6"/>
        <v>2</v>
      </c>
      <c r="D177">
        <f t="shared" si="7"/>
        <v>0</v>
      </c>
    </row>
    <row r="178" spans="1:4" x14ac:dyDescent="0.3">
      <c r="A178" t="str">
        <v>Corn</v>
      </c>
      <c r="B178" t="str">
        <v>Positive Growth</v>
      </c>
      <c r="C178">
        <f t="shared" si="6"/>
        <v>3</v>
      </c>
      <c r="D178">
        <f t="shared" si="7"/>
        <v>0</v>
      </c>
    </row>
    <row r="179" spans="1:4" x14ac:dyDescent="0.3">
      <c r="A179" t="str">
        <v>Corn</v>
      </c>
      <c r="B179" t="str">
        <v>Positive Growth</v>
      </c>
      <c r="C179">
        <f t="shared" si="6"/>
        <v>4</v>
      </c>
      <c r="D179">
        <f t="shared" si="7"/>
        <v>0</v>
      </c>
    </row>
    <row r="180" spans="1:4" x14ac:dyDescent="0.3">
      <c r="A180" t="str">
        <v>Corn</v>
      </c>
      <c r="B180" t="str">
        <v>Positive Growth</v>
      </c>
      <c r="C180">
        <f t="shared" si="6"/>
        <v>5</v>
      </c>
      <c r="D180">
        <f t="shared" si="7"/>
        <v>0</v>
      </c>
    </row>
    <row r="181" spans="1:4" x14ac:dyDescent="0.3">
      <c r="A181" t="str">
        <v>Corn</v>
      </c>
      <c r="B181" t="str">
        <v>Negative Growth</v>
      </c>
      <c r="C181">
        <f t="shared" si="6"/>
        <v>0</v>
      </c>
      <c r="D181">
        <f t="shared" si="7"/>
        <v>1</v>
      </c>
    </row>
    <row r="182" spans="1:4" x14ac:dyDescent="0.3">
      <c r="A182" t="str">
        <v>Corn</v>
      </c>
      <c r="B182" t="str">
        <v>Negative Growth</v>
      </c>
      <c r="C182">
        <f t="shared" si="6"/>
        <v>0</v>
      </c>
      <c r="D182">
        <f t="shared" si="7"/>
        <v>2</v>
      </c>
    </row>
    <row r="183" spans="1:4" x14ac:dyDescent="0.3">
      <c r="A183" t="str">
        <v>Cotton</v>
      </c>
      <c r="B183" t="str">
        <v>Positive Growth</v>
      </c>
      <c r="C183">
        <f t="shared" si="6"/>
        <v>1</v>
      </c>
      <c r="D183">
        <f t="shared" si="7"/>
        <v>0</v>
      </c>
    </row>
    <row r="184" spans="1:4" x14ac:dyDescent="0.3">
      <c r="A184" t="str">
        <v>Cotton</v>
      </c>
      <c r="B184" t="str">
        <v>Negative Growth</v>
      </c>
      <c r="C184">
        <f t="shared" si="6"/>
        <v>0</v>
      </c>
      <c r="D184">
        <f t="shared" si="7"/>
        <v>1</v>
      </c>
    </row>
    <row r="185" spans="1:4" x14ac:dyDescent="0.3">
      <c r="A185" t="str">
        <v>Cotton</v>
      </c>
      <c r="B185" t="str">
        <v>Positive Growth</v>
      </c>
      <c r="C185">
        <f t="shared" si="6"/>
        <v>1</v>
      </c>
      <c r="D185">
        <f t="shared" si="7"/>
        <v>0</v>
      </c>
    </row>
    <row r="186" spans="1:4" x14ac:dyDescent="0.3">
      <c r="A186" t="str">
        <v>Cotton</v>
      </c>
      <c r="B186" t="str">
        <v>Positive Growth</v>
      </c>
      <c r="C186">
        <f t="shared" si="6"/>
        <v>2</v>
      </c>
      <c r="D186">
        <f t="shared" si="7"/>
        <v>0</v>
      </c>
    </row>
    <row r="187" spans="1:4" x14ac:dyDescent="0.3">
      <c r="A187" t="str">
        <v>Cotton</v>
      </c>
      <c r="B187" t="str">
        <v>Negative Growth</v>
      </c>
      <c r="C187">
        <f t="shared" si="6"/>
        <v>0</v>
      </c>
      <c r="D187">
        <f t="shared" si="7"/>
        <v>1</v>
      </c>
    </row>
    <row r="188" spans="1:4" x14ac:dyDescent="0.3">
      <c r="A188" t="str">
        <v>Cotton</v>
      </c>
      <c r="B188" t="str">
        <v>Positive Growth</v>
      </c>
      <c r="C188">
        <f t="shared" si="6"/>
        <v>1</v>
      </c>
      <c r="D188">
        <f t="shared" si="7"/>
        <v>0</v>
      </c>
    </row>
    <row r="189" spans="1:4" x14ac:dyDescent="0.3">
      <c r="A189" t="str">
        <v>Cotton</v>
      </c>
      <c r="B189" t="str">
        <v>Positive Growth</v>
      </c>
      <c r="C189">
        <f t="shared" si="6"/>
        <v>2</v>
      </c>
      <c r="D189">
        <f t="shared" si="7"/>
        <v>0</v>
      </c>
    </row>
    <row r="190" spans="1:4" x14ac:dyDescent="0.3">
      <c r="A190" t="str">
        <v>Cotton</v>
      </c>
      <c r="B190" t="str">
        <v>Positive Growth</v>
      </c>
      <c r="C190">
        <f t="shared" si="6"/>
        <v>3</v>
      </c>
      <c r="D190">
        <f t="shared" si="7"/>
        <v>0</v>
      </c>
    </row>
    <row r="191" spans="1:4" x14ac:dyDescent="0.3">
      <c r="A191" t="str">
        <v>Cotton</v>
      </c>
      <c r="B191" t="str">
        <v>Negative Growth</v>
      </c>
      <c r="C191">
        <f t="shared" si="6"/>
        <v>0</v>
      </c>
      <c r="D191">
        <f t="shared" si="7"/>
        <v>1</v>
      </c>
    </row>
    <row r="192" spans="1:4" x14ac:dyDescent="0.3">
      <c r="A192" t="str">
        <v>Cotton</v>
      </c>
      <c r="B192" t="str">
        <v>Positive Growth</v>
      </c>
      <c r="C192">
        <f t="shared" si="6"/>
        <v>1</v>
      </c>
      <c r="D192">
        <f t="shared" si="7"/>
        <v>0</v>
      </c>
    </row>
    <row r="193" spans="1:4" x14ac:dyDescent="0.3">
      <c r="A193" t="str">
        <v>Cotton</v>
      </c>
      <c r="B193" t="str">
        <v>Positive Growth</v>
      </c>
      <c r="C193">
        <f t="shared" si="6"/>
        <v>2</v>
      </c>
      <c r="D193">
        <f t="shared" si="7"/>
        <v>0</v>
      </c>
    </row>
    <row r="194" spans="1:4" x14ac:dyDescent="0.3">
      <c r="A194" t="str">
        <v>Cotton</v>
      </c>
      <c r="B194" t="str">
        <v>Negative Growth</v>
      </c>
      <c r="C194">
        <f t="shared" si="6"/>
        <v>0</v>
      </c>
      <c r="D194">
        <f t="shared" si="7"/>
        <v>1</v>
      </c>
    </row>
    <row r="195" spans="1:4" x14ac:dyDescent="0.3">
      <c r="A195" t="str">
        <v>Cotton</v>
      </c>
      <c r="B195" t="str">
        <v>Negative Growth</v>
      </c>
      <c r="C195">
        <f t="shared" si="6"/>
        <v>0</v>
      </c>
      <c r="D195">
        <f t="shared" si="7"/>
        <v>2</v>
      </c>
    </row>
    <row r="196" spans="1:4" x14ac:dyDescent="0.3">
      <c r="A196" t="str">
        <v>Cotton</v>
      </c>
      <c r="B196" t="str">
        <v>Negative Growth</v>
      </c>
      <c r="C196">
        <f t="shared" ref="C196:C259" si="8">IF(A196&lt;&gt;A195,IF(B196="Positive Growth",1,0),IF(B196="Positive Growth",IF(B195="Positive Growth",C195+1,1),0))</f>
        <v>0</v>
      </c>
      <c r="D196">
        <f t="shared" ref="D196:D259" si="9">IF(A196&lt;&gt;A195,IF(B196="Negative Growth",1,0),IF(B196="Negative Growth",IF(B195="Negative Growth",D195+1,1),0))</f>
        <v>3</v>
      </c>
    </row>
    <row r="197" spans="1:4" x14ac:dyDescent="0.3">
      <c r="A197" t="str">
        <v>Cotton</v>
      </c>
      <c r="B197" t="str">
        <v>Positive Growth</v>
      </c>
      <c r="C197">
        <f t="shared" si="8"/>
        <v>1</v>
      </c>
      <c r="D197">
        <f t="shared" si="9"/>
        <v>0</v>
      </c>
    </row>
    <row r="198" spans="1:4" x14ac:dyDescent="0.3">
      <c r="A198" t="str">
        <v>Cotton</v>
      </c>
      <c r="B198" t="str">
        <v>Negative Growth</v>
      </c>
      <c r="C198">
        <f t="shared" si="8"/>
        <v>0</v>
      </c>
      <c r="D198">
        <f t="shared" si="9"/>
        <v>1</v>
      </c>
    </row>
    <row r="199" spans="1:4" x14ac:dyDescent="0.3">
      <c r="A199" t="str">
        <v>Cotton</v>
      </c>
      <c r="B199" t="str">
        <v>Positive Growth</v>
      </c>
      <c r="C199">
        <f t="shared" si="8"/>
        <v>1</v>
      </c>
      <c r="D199">
        <f t="shared" si="9"/>
        <v>0</v>
      </c>
    </row>
    <row r="200" spans="1:4" x14ac:dyDescent="0.3">
      <c r="A200" t="str">
        <v>Cotton</v>
      </c>
      <c r="B200" t="str">
        <v>Positive Growth</v>
      </c>
      <c r="C200">
        <f t="shared" si="8"/>
        <v>2</v>
      </c>
      <c r="D200">
        <f t="shared" si="9"/>
        <v>0</v>
      </c>
    </row>
    <row r="201" spans="1:4" x14ac:dyDescent="0.3">
      <c r="A201" t="str">
        <v>Cotton</v>
      </c>
      <c r="B201" t="str">
        <v>Negative Growth</v>
      </c>
      <c r="C201">
        <f t="shared" si="8"/>
        <v>0</v>
      </c>
      <c r="D201">
        <f t="shared" si="9"/>
        <v>1</v>
      </c>
    </row>
    <row r="202" spans="1:4" x14ac:dyDescent="0.3">
      <c r="A202" t="str">
        <v>Cotton</v>
      </c>
      <c r="B202" t="str">
        <v>Negative Growth</v>
      </c>
      <c r="C202">
        <f t="shared" si="8"/>
        <v>0</v>
      </c>
      <c r="D202">
        <f t="shared" si="9"/>
        <v>2</v>
      </c>
    </row>
    <row r="203" spans="1:4" x14ac:dyDescent="0.3">
      <c r="A203" t="str">
        <v>Cotton</v>
      </c>
      <c r="B203" t="str">
        <v>Positive Growth</v>
      </c>
      <c r="C203">
        <f t="shared" si="8"/>
        <v>1</v>
      </c>
      <c r="D203">
        <f t="shared" si="9"/>
        <v>0</v>
      </c>
    </row>
    <row r="204" spans="1:4" x14ac:dyDescent="0.3">
      <c r="A204" t="str">
        <v>Cotton</v>
      </c>
      <c r="B204" t="str">
        <v>Positive Growth</v>
      </c>
      <c r="C204">
        <f t="shared" si="8"/>
        <v>2</v>
      </c>
      <c r="D204">
        <f t="shared" si="9"/>
        <v>0</v>
      </c>
    </row>
    <row r="205" spans="1:4" x14ac:dyDescent="0.3">
      <c r="A205" t="str">
        <v>Cotton</v>
      </c>
      <c r="B205" t="str">
        <v>Negative Growth</v>
      </c>
      <c r="C205">
        <f t="shared" si="8"/>
        <v>0</v>
      </c>
      <c r="D205">
        <f t="shared" si="9"/>
        <v>1</v>
      </c>
    </row>
    <row r="206" spans="1:4" x14ac:dyDescent="0.3">
      <c r="A206" t="str">
        <v>Cotton</v>
      </c>
      <c r="B206" t="str">
        <v>Negative Growth</v>
      </c>
      <c r="C206">
        <f t="shared" si="8"/>
        <v>0</v>
      </c>
      <c r="D206">
        <f t="shared" si="9"/>
        <v>2</v>
      </c>
    </row>
    <row r="207" spans="1:4" x14ac:dyDescent="0.3">
      <c r="A207" t="str">
        <v>Cotton</v>
      </c>
      <c r="B207" t="str">
        <v>Negative Growth</v>
      </c>
      <c r="C207">
        <f t="shared" si="8"/>
        <v>0</v>
      </c>
      <c r="D207">
        <f t="shared" si="9"/>
        <v>3</v>
      </c>
    </row>
    <row r="208" spans="1:4" x14ac:dyDescent="0.3">
      <c r="A208" t="str">
        <v>Cotton</v>
      </c>
      <c r="B208" t="str">
        <v>Negative Growth</v>
      </c>
      <c r="C208">
        <f t="shared" si="8"/>
        <v>0</v>
      </c>
      <c r="D208">
        <f t="shared" si="9"/>
        <v>4</v>
      </c>
    </row>
    <row r="209" spans="1:4" x14ac:dyDescent="0.3">
      <c r="A209" t="str">
        <v>Cotton</v>
      </c>
      <c r="B209" t="str">
        <v>Negative Growth</v>
      </c>
      <c r="C209">
        <f t="shared" si="8"/>
        <v>0</v>
      </c>
      <c r="D209">
        <f t="shared" si="9"/>
        <v>5</v>
      </c>
    </row>
    <row r="210" spans="1:4" x14ac:dyDescent="0.3">
      <c r="A210" t="str">
        <v>Cotton</v>
      </c>
      <c r="B210" t="str">
        <v>Positive Growth</v>
      </c>
      <c r="C210">
        <f t="shared" si="8"/>
        <v>1</v>
      </c>
      <c r="D210">
        <f t="shared" si="9"/>
        <v>0</v>
      </c>
    </row>
    <row r="211" spans="1:4" x14ac:dyDescent="0.3">
      <c r="A211" t="str">
        <v>Cotton</v>
      </c>
      <c r="B211" t="str">
        <v>Negative Growth</v>
      </c>
      <c r="C211">
        <f t="shared" si="8"/>
        <v>0</v>
      </c>
      <c r="D211">
        <f t="shared" si="9"/>
        <v>1</v>
      </c>
    </row>
    <row r="212" spans="1:4" x14ac:dyDescent="0.3">
      <c r="A212" t="str">
        <v>Cotton</v>
      </c>
      <c r="B212" t="str">
        <v>Positive Growth</v>
      </c>
      <c r="C212">
        <f t="shared" si="8"/>
        <v>1</v>
      </c>
      <c r="D212">
        <f t="shared" si="9"/>
        <v>0</v>
      </c>
    </row>
    <row r="213" spans="1:4" x14ac:dyDescent="0.3">
      <c r="A213" t="str">
        <v>Cotton</v>
      </c>
      <c r="B213" t="str">
        <v>Positive Growth</v>
      </c>
      <c r="C213">
        <f t="shared" si="8"/>
        <v>2</v>
      </c>
      <c r="D213">
        <f t="shared" si="9"/>
        <v>0</v>
      </c>
    </row>
    <row r="214" spans="1:4" x14ac:dyDescent="0.3">
      <c r="A214" t="str">
        <v>Cotton</v>
      </c>
      <c r="B214" t="str">
        <v>Negative Growth</v>
      </c>
      <c r="C214">
        <f t="shared" si="8"/>
        <v>0</v>
      </c>
      <c r="D214">
        <f t="shared" si="9"/>
        <v>1</v>
      </c>
    </row>
    <row r="215" spans="1:4" x14ac:dyDescent="0.3">
      <c r="A215" t="str">
        <v>Cotton</v>
      </c>
      <c r="B215" t="str">
        <v>Positive Growth</v>
      </c>
      <c r="C215">
        <f t="shared" si="8"/>
        <v>1</v>
      </c>
      <c r="D215">
        <f t="shared" si="9"/>
        <v>0</v>
      </c>
    </row>
    <row r="216" spans="1:4" x14ac:dyDescent="0.3">
      <c r="A216" t="str">
        <v>Cotton</v>
      </c>
      <c r="B216" t="str">
        <v>Positive Growth</v>
      </c>
      <c r="C216">
        <f t="shared" si="8"/>
        <v>2</v>
      </c>
      <c r="D216">
        <f t="shared" si="9"/>
        <v>0</v>
      </c>
    </row>
    <row r="217" spans="1:4" x14ac:dyDescent="0.3">
      <c r="A217" t="str">
        <v>Cotton</v>
      </c>
      <c r="B217" t="str">
        <v>Positive Growth</v>
      </c>
      <c r="C217">
        <f t="shared" si="8"/>
        <v>3</v>
      </c>
      <c r="D217">
        <f t="shared" si="9"/>
        <v>0</v>
      </c>
    </row>
    <row r="218" spans="1:4" x14ac:dyDescent="0.3">
      <c r="A218" t="str">
        <v>Cotton</v>
      </c>
      <c r="B218" t="str">
        <v>Negative Growth</v>
      </c>
      <c r="C218">
        <f t="shared" si="8"/>
        <v>0</v>
      </c>
      <c r="D218">
        <f t="shared" si="9"/>
        <v>1</v>
      </c>
    </row>
    <row r="219" spans="1:4" x14ac:dyDescent="0.3">
      <c r="A219" t="str">
        <v>Cotton</v>
      </c>
      <c r="B219" t="str">
        <v>Positive Growth</v>
      </c>
      <c r="C219">
        <f t="shared" si="8"/>
        <v>1</v>
      </c>
      <c r="D219">
        <f t="shared" si="9"/>
        <v>0</v>
      </c>
    </row>
    <row r="220" spans="1:4" x14ac:dyDescent="0.3">
      <c r="A220" t="str">
        <v>Cotton</v>
      </c>
      <c r="B220" t="str">
        <v>Positive Growth</v>
      </c>
      <c r="C220">
        <f t="shared" si="8"/>
        <v>2</v>
      </c>
      <c r="D220">
        <f t="shared" si="9"/>
        <v>0</v>
      </c>
    </row>
    <row r="221" spans="1:4" x14ac:dyDescent="0.3">
      <c r="A221" t="str">
        <v>Cotton</v>
      </c>
      <c r="B221" t="str">
        <v>Negative Growth</v>
      </c>
      <c r="C221">
        <f t="shared" si="8"/>
        <v>0</v>
      </c>
      <c r="D221">
        <f t="shared" si="9"/>
        <v>1</v>
      </c>
    </row>
    <row r="222" spans="1:4" x14ac:dyDescent="0.3">
      <c r="A222" t="str">
        <v>Cotton</v>
      </c>
      <c r="B222" t="str">
        <v>Negative Growth</v>
      </c>
      <c r="C222">
        <f t="shared" si="8"/>
        <v>0</v>
      </c>
      <c r="D222">
        <f t="shared" si="9"/>
        <v>2</v>
      </c>
    </row>
    <row r="223" spans="1:4" x14ac:dyDescent="0.3">
      <c r="A223" t="str">
        <v>Cotton</v>
      </c>
      <c r="B223" t="str">
        <v>Positive Growth</v>
      </c>
      <c r="C223">
        <f t="shared" si="8"/>
        <v>1</v>
      </c>
      <c r="D223">
        <f t="shared" si="9"/>
        <v>0</v>
      </c>
    </row>
    <row r="224" spans="1:4" x14ac:dyDescent="0.3">
      <c r="A224" t="str">
        <v>Cotton</v>
      </c>
      <c r="B224" t="str">
        <v>Negative Growth</v>
      </c>
      <c r="C224">
        <f t="shared" si="8"/>
        <v>0</v>
      </c>
      <c r="D224">
        <f t="shared" si="9"/>
        <v>1</v>
      </c>
    </row>
    <row r="225" spans="1:4" x14ac:dyDescent="0.3">
      <c r="A225" t="str">
        <v>Cotton</v>
      </c>
      <c r="B225" t="str">
        <v>Positive Growth</v>
      </c>
      <c r="C225">
        <f t="shared" si="8"/>
        <v>1</v>
      </c>
      <c r="D225">
        <f t="shared" si="9"/>
        <v>0</v>
      </c>
    </row>
    <row r="226" spans="1:4" x14ac:dyDescent="0.3">
      <c r="A226" t="str">
        <v>Cotton</v>
      </c>
      <c r="B226" t="str">
        <v>Positive Growth</v>
      </c>
      <c r="C226">
        <f t="shared" si="8"/>
        <v>2</v>
      </c>
      <c r="D226">
        <f t="shared" si="9"/>
        <v>0</v>
      </c>
    </row>
    <row r="227" spans="1:4" x14ac:dyDescent="0.3">
      <c r="A227" t="str">
        <v>Cotton</v>
      </c>
      <c r="B227" t="str">
        <v>Positive Growth</v>
      </c>
      <c r="C227">
        <f t="shared" si="8"/>
        <v>3</v>
      </c>
      <c r="D227">
        <f t="shared" si="9"/>
        <v>0</v>
      </c>
    </row>
    <row r="228" spans="1:4" x14ac:dyDescent="0.3">
      <c r="A228" t="str">
        <v>Cotton</v>
      </c>
      <c r="B228" t="str">
        <v>Negative Growth</v>
      </c>
      <c r="C228">
        <f t="shared" si="8"/>
        <v>0</v>
      </c>
      <c r="D228">
        <f t="shared" si="9"/>
        <v>1</v>
      </c>
    </row>
    <row r="229" spans="1:4" x14ac:dyDescent="0.3">
      <c r="A229" t="str">
        <v>Cotton</v>
      </c>
      <c r="B229" t="str">
        <v>Negative Growth</v>
      </c>
      <c r="C229">
        <f t="shared" si="8"/>
        <v>0</v>
      </c>
      <c r="D229">
        <f t="shared" si="9"/>
        <v>2</v>
      </c>
    </row>
    <row r="230" spans="1:4" x14ac:dyDescent="0.3">
      <c r="A230" t="str">
        <v>Cotton</v>
      </c>
      <c r="B230" t="str">
        <v>Positive Growth</v>
      </c>
      <c r="C230">
        <f t="shared" si="8"/>
        <v>1</v>
      </c>
      <c r="D230">
        <f t="shared" si="9"/>
        <v>0</v>
      </c>
    </row>
    <row r="231" spans="1:4" x14ac:dyDescent="0.3">
      <c r="A231" t="str">
        <v>Cotton</v>
      </c>
      <c r="B231" t="str">
        <v>Positive Growth</v>
      </c>
      <c r="C231">
        <f t="shared" si="8"/>
        <v>2</v>
      </c>
      <c r="D231">
        <f t="shared" si="9"/>
        <v>0</v>
      </c>
    </row>
    <row r="232" spans="1:4" x14ac:dyDescent="0.3">
      <c r="A232" t="str">
        <v>Cotton</v>
      </c>
      <c r="B232" t="str">
        <v>Negative Growth</v>
      </c>
      <c r="C232">
        <f t="shared" si="8"/>
        <v>0</v>
      </c>
      <c r="D232">
        <f t="shared" si="9"/>
        <v>1</v>
      </c>
    </row>
    <row r="233" spans="1:4" x14ac:dyDescent="0.3">
      <c r="A233" t="str">
        <v>Cotton</v>
      </c>
      <c r="B233" t="str">
        <v>Negative Growth</v>
      </c>
      <c r="C233">
        <f t="shared" si="8"/>
        <v>0</v>
      </c>
      <c r="D233">
        <f t="shared" si="9"/>
        <v>2</v>
      </c>
    </row>
    <row r="234" spans="1:4" x14ac:dyDescent="0.3">
      <c r="A234" t="str">
        <v>Cotton</v>
      </c>
      <c r="B234" t="str">
        <v>Negative Growth</v>
      </c>
      <c r="C234">
        <f t="shared" si="8"/>
        <v>0</v>
      </c>
      <c r="D234">
        <f t="shared" si="9"/>
        <v>3</v>
      </c>
    </row>
    <row r="235" spans="1:4" x14ac:dyDescent="0.3">
      <c r="A235" t="str">
        <v>Lumber</v>
      </c>
      <c r="B235" t="str">
        <v>Negative Growth</v>
      </c>
      <c r="C235">
        <f t="shared" si="8"/>
        <v>0</v>
      </c>
      <c r="D235">
        <f t="shared" si="9"/>
        <v>1</v>
      </c>
    </row>
    <row r="236" spans="1:4" x14ac:dyDescent="0.3">
      <c r="A236" t="str">
        <v>Lumber</v>
      </c>
      <c r="B236" t="str">
        <v>Negative Growth</v>
      </c>
      <c r="C236">
        <f t="shared" si="8"/>
        <v>0</v>
      </c>
      <c r="D236">
        <f t="shared" si="9"/>
        <v>2</v>
      </c>
    </row>
    <row r="237" spans="1:4" x14ac:dyDescent="0.3">
      <c r="A237" t="str">
        <v>Lumber</v>
      </c>
      <c r="B237" t="str">
        <v>Positive Growth</v>
      </c>
      <c r="C237">
        <f t="shared" si="8"/>
        <v>1</v>
      </c>
      <c r="D237">
        <f t="shared" si="9"/>
        <v>0</v>
      </c>
    </row>
    <row r="238" spans="1:4" x14ac:dyDescent="0.3">
      <c r="A238" t="str">
        <v>Lumber</v>
      </c>
      <c r="B238" t="str">
        <v>Positive Growth</v>
      </c>
      <c r="C238">
        <f t="shared" si="8"/>
        <v>2</v>
      </c>
      <c r="D238">
        <f t="shared" si="9"/>
        <v>0</v>
      </c>
    </row>
    <row r="239" spans="1:4" x14ac:dyDescent="0.3">
      <c r="A239" t="str">
        <v>Lumber</v>
      </c>
      <c r="B239" t="str">
        <v>Positive Growth</v>
      </c>
      <c r="C239">
        <f t="shared" si="8"/>
        <v>3</v>
      </c>
      <c r="D239">
        <f t="shared" si="9"/>
        <v>0</v>
      </c>
    </row>
    <row r="240" spans="1:4" x14ac:dyDescent="0.3">
      <c r="A240" t="str">
        <v>Lumber</v>
      </c>
      <c r="B240" t="str">
        <v>Positive Growth</v>
      </c>
      <c r="C240">
        <f t="shared" si="8"/>
        <v>4</v>
      </c>
      <c r="D240">
        <f t="shared" si="9"/>
        <v>0</v>
      </c>
    </row>
    <row r="241" spans="1:4" x14ac:dyDescent="0.3">
      <c r="A241" t="str">
        <v>Lumber</v>
      </c>
      <c r="B241" t="str">
        <v>Negative Growth</v>
      </c>
      <c r="C241">
        <f t="shared" si="8"/>
        <v>0</v>
      </c>
      <c r="D241">
        <f t="shared" si="9"/>
        <v>1</v>
      </c>
    </row>
    <row r="242" spans="1:4" x14ac:dyDescent="0.3">
      <c r="A242" t="str">
        <v>Lumber</v>
      </c>
      <c r="B242" t="str">
        <v>Negative Growth</v>
      </c>
      <c r="C242">
        <f t="shared" si="8"/>
        <v>0</v>
      </c>
      <c r="D242">
        <f t="shared" si="9"/>
        <v>2</v>
      </c>
    </row>
    <row r="243" spans="1:4" x14ac:dyDescent="0.3">
      <c r="A243" t="str">
        <v>Lumber</v>
      </c>
      <c r="B243" t="str">
        <v>Negative Growth</v>
      </c>
      <c r="C243">
        <f t="shared" si="8"/>
        <v>0</v>
      </c>
      <c r="D243">
        <f t="shared" si="9"/>
        <v>3</v>
      </c>
    </row>
    <row r="244" spans="1:4" x14ac:dyDescent="0.3">
      <c r="A244" t="str">
        <v>Lumber</v>
      </c>
      <c r="B244" t="str">
        <v>Positive Growth</v>
      </c>
      <c r="C244">
        <f t="shared" si="8"/>
        <v>1</v>
      </c>
      <c r="D244">
        <f t="shared" si="9"/>
        <v>0</v>
      </c>
    </row>
    <row r="245" spans="1:4" x14ac:dyDescent="0.3">
      <c r="A245" t="str">
        <v>Lumber</v>
      </c>
      <c r="B245" t="str">
        <v>Negative Growth</v>
      </c>
      <c r="C245">
        <f t="shared" si="8"/>
        <v>0</v>
      </c>
      <c r="D245">
        <f t="shared" si="9"/>
        <v>1</v>
      </c>
    </row>
    <row r="246" spans="1:4" x14ac:dyDescent="0.3">
      <c r="A246" t="str">
        <v>Lumber</v>
      </c>
      <c r="B246" t="str">
        <v>Negative Growth</v>
      </c>
      <c r="C246">
        <f t="shared" si="8"/>
        <v>0</v>
      </c>
      <c r="D246">
        <f t="shared" si="9"/>
        <v>2</v>
      </c>
    </row>
    <row r="247" spans="1:4" x14ac:dyDescent="0.3">
      <c r="A247" t="str">
        <v>Lumber</v>
      </c>
      <c r="B247" t="str">
        <v>Negative Growth</v>
      </c>
      <c r="C247">
        <f t="shared" si="8"/>
        <v>0</v>
      </c>
      <c r="D247">
        <f t="shared" si="9"/>
        <v>3</v>
      </c>
    </row>
    <row r="248" spans="1:4" x14ac:dyDescent="0.3">
      <c r="A248" t="str">
        <v>Lumber</v>
      </c>
      <c r="B248" t="str">
        <v>Positive Growth</v>
      </c>
      <c r="C248">
        <f t="shared" si="8"/>
        <v>1</v>
      </c>
      <c r="D248">
        <f t="shared" si="9"/>
        <v>0</v>
      </c>
    </row>
    <row r="249" spans="1:4" x14ac:dyDescent="0.3">
      <c r="A249" t="str">
        <v>Lumber</v>
      </c>
      <c r="B249" t="str">
        <v>Positive Growth</v>
      </c>
      <c r="C249">
        <f t="shared" si="8"/>
        <v>2</v>
      </c>
      <c r="D249">
        <f t="shared" si="9"/>
        <v>0</v>
      </c>
    </row>
    <row r="250" spans="1:4" x14ac:dyDescent="0.3">
      <c r="A250" t="str">
        <v>Lumber</v>
      </c>
      <c r="B250" t="str">
        <v>Negative Growth</v>
      </c>
      <c r="C250">
        <f t="shared" si="8"/>
        <v>0</v>
      </c>
      <c r="D250">
        <f t="shared" si="9"/>
        <v>1</v>
      </c>
    </row>
    <row r="251" spans="1:4" x14ac:dyDescent="0.3">
      <c r="A251" t="str">
        <v>Lumber</v>
      </c>
      <c r="B251" t="str">
        <v>Positive Growth</v>
      </c>
      <c r="C251">
        <f t="shared" si="8"/>
        <v>1</v>
      </c>
      <c r="D251">
        <f t="shared" si="9"/>
        <v>0</v>
      </c>
    </row>
    <row r="252" spans="1:4" x14ac:dyDescent="0.3">
      <c r="A252" t="str">
        <v>Lumber</v>
      </c>
      <c r="B252" t="str">
        <v>Negative Growth</v>
      </c>
      <c r="C252">
        <f t="shared" si="8"/>
        <v>0</v>
      </c>
      <c r="D252">
        <f t="shared" si="9"/>
        <v>1</v>
      </c>
    </row>
    <row r="253" spans="1:4" x14ac:dyDescent="0.3">
      <c r="A253" t="str">
        <v>Lumber</v>
      </c>
      <c r="B253" t="str">
        <v>Positive Growth</v>
      </c>
      <c r="C253">
        <f t="shared" si="8"/>
        <v>1</v>
      </c>
      <c r="D253">
        <f t="shared" si="9"/>
        <v>0</v>
      </c>
    </row>
    <row r="254" spans="1:4" x14ac:dyDescent="0.3">
      <c r="A254" t="str">
        <v>Lumber</v>
      </c>
      <c r="B254" t="str">
        <v>Positive Growth</v>
      </c>
      <c r="C254">
        <f t="shared" si="8"/>
        <v>2</v>
      </c>
      <c r="D254">
        <f t="shared" si="9"/>
        <v>0</v>
      </c>
    </row>
    <row r="255" spans="1:4" x14ac:dyDescent="0.3">
      <c r="A255" t="str">
        <v>Lumber</v>
      </c>
      <c r="B255" t="str">
        <v>Positive Growth</v>
      </c>
      <c r="C255">
        <f t="shared" si="8"/>
        <v>3</v>
      </c>
      <c r="D255">
        <f t="shared" si="9"/>
        <v>0</v>
      </c>
    </row>
    <row r="256" spans="1:4" x14ac:dyDescent="0.3">
      <c r="A256" t="str">
        <v>Lumber</v>
      </c>
      <c r="B256" t="str">
        <v>Negative Growth</v>
      </c>
      <c r="C256">
        <f t="shared" si="8"/>
        <v>0</v>
      </c>
      <c r="D256">
        <f t="shared" si="9"/>
        <v>1</v>
      </c>
    </row>
    <row r="257" spans="1:4" x14ac:dyDescent="0.3">
      <c r="A257" t="str">
        <v>Lumber</v>
      </c>
      <c r="B257" t="str">
        <v>Negative Growth</v>
      </c>
      <c r="C257">
        <f t="shared" si="8"/>
        <v>0</v>
      </c>
      <c r="D257">
        <f t="shared" si="9"/>
        <v>2</v>
      </c>
    </row>
    <row r="258" spans="1:4" x14ac:dyDescent="0.3">
      <c r="A258" t="str">
        <v>Lumber</v>
      </c>
      <c r="B258" t="str">
        <v>Positive Growth</v>
      </c>
      <c r="C258">
        <f t="shared" si="8"/>
        <v>1</v>
      </c>
      <c r="D258">
        <f t="shared" si="9"/>
        <v>0</v>
      </c>
    </row>
    <row r="259" spans="1:4" x14ac:dyDescent="0.3">
      <c r="A259" t="str">
        <v>Lumber</v>
      </c>
      <c r="B259" t="str">
        <v>Negative Growth</v>
      </c>
      <c r="C259">
        <f t="shared" si="8"/>
        <v>0</v>
      </c>
      <c r="D259">
        <f t="shared" si="9"/>
        <v>1</v>
      </c>
    </row>
    <row r="260" spans="1:4" x14ac:dyDescent="0.3">
      <c r="A260" t="str">
        <v>Lumber</v>
      </c>
      <c r="B260" t="str">
        <v>Positive Growth</v>
      </c>
      <c r="C260">
        <f t="shared" ref="C260:C323" si="10">IF(A260&lt;&gt;A259,IF(B260="Positive Growth",1,0),IF(B260="Positive Growth",IF(B259="Positive Growth",C259+1,1),0))</f>
        <v>1</v>
      </c>
      <c r="D260">
        <f t="shared" ref="D260:D323" si="11">IF(A260&lt;&gt;A259,IF(B260="Negative Growth",1,0),IF(B260="Negative Growth",IF(B259="Negative Growth",D259+1,1),0))</f>
        <v>0</v>
      </c>
    </row>
    <row r="261" spans="1:4" x14ac:dyDescent="0.3">
      <c r="A261" t="str">
        <v>Lumber</v>
      </c>
      <c r="B261" t="str">
        <v>Positive Growth</v>
      </c>
      <c r="C261">
        <f t="shared" si="10"/>
        <v>2</v>
      </c>
      <c r="D261">
        <f t="shared" si="11"/>
        <v>0</v>
      </c>
    </row>
    <row r="262" spans="1:4" x14ac:dyDescent="0.3">
      <c r="A262" t="str">
        <v>Lumber</v>
      </c>
      <c r="B262" t="str">
        <v>Negative Growth</v>
      </c>
      <c r="C262">
        <f t="shared" si="10"/>
        <v>0</v>
      </c>
      <c r="D262">
        <f t="shared" si="11"/>
        <v>1</v>
      </c>
    </row>
    <row r="263" spans="1:4" x14ac:dyDescent="0.3">
      <c r="A263" t="str">
        <v>Lumber</v>
      </c>
      <c r="B263" t="str">
        <v>Positive Growth</v>
      </c>
      <c r="C263">
        <f t="shared" si="10"/>
        <v>1</v>
      </c>
      <c r="D263">
        <f t="shared" si="11"/>
        <v>0</v>
      </c>
    </row>
    <row r="264" spans="1:4" x14ac:dyDescent="0.3">
      <c r="A264" t="str">
        <v>Lumber</v>
      </c>
      <c r="B264" t="str">
        <v>Negative Growth</v>
      </c>
      <c r="C264">
        <f t="shared" si="10"/>
        <v>0</v>
      </c>
      <c r="D264">
        <f t="shared" si="11"/>
        <v>1</v>
      </c>
    </row>
    <row r="265" spans="1:4" x14ac:dyDescent="0.3">
      <c r="A265" t="str">
        <v>Lumber</v>
      </c>
      <c r="B265" t="str">
        <v>Positive Growth</v>
      </c>
      <c r="C265">
        <f t="shared" si="10"/>
        <v>1</v>
      </c>
      <c r="D265">
        <f t="shared" si="11"/>
        <v>0</v>
      </c>
    </row>
    <row r="266" spans="1:4" x14ac:dyDescent="0.3">
      <c r="A266" t="str">
        <v>Lumber</v>
      </c>
      <c r="B266" t="str">
        <v>Positive Growth</v>
      </c>
      <c r="C266">
        <f t="shared" si="10"/>
        <v>2</v>
      </c>
      <c r="D266">
        <f t="shared" si="11"/>
        <v>0</v>
      </c>
    </row>
    <row r="267" spans="1:4" x14ac:dyDescent="0.3">
      <c r="A267" t="str">
        <v>Lumber</v>
      </c>
      <c r="B267" t="str">
        <v>Positive Growth</v>
      </c>
      <c r="C267">
        <f t="shared" si="10"/>
        <v>3</v>
      </c>
      <c r="D267">
        <f t="shared" si="11"/>
        <v>0</v>
      </c>
    </row>
    <row r="268" spans="1:4" x14ac:dyDescent="0.3">
      <c r="A268" t="str">
        <v>Lumber</v>
      </c>
      <c r="B268" t="str">
        <v>Negative Growth</v>
      </c>
      <c r="C268">
        <f t="shared" si="10"/>
        <v>0</v>
      </c>
      <c r="D268">
        <f t="shared" si="11"/>
        <v>1</v>
      </c>
    </row>
    <row r="269" spans="1:4" x14ac:dyDescent="0.3">
      <c r="A269" t="str">
        <v>Lumber</v>
      </c>
      <c r="B269" t="str">
        <v>Negative Growth</v>
      </c>
      <c r="C269">
        <f t="shared" si="10"/>
        <v>0</v>
      </c>
      <c r="D269">
        <f t="shared" si="11"/>
        <v>2</v>
      </c>
    </row>
    <row r="270" spans="1:4" x14ac:dyDescent="0.3">
      <c r="A270" t="str">
        <v>Lumber</v>
      </c>
      <c r="B270" t="str">
        <v>Negative Growth</v>
      </c>
      <c r="C270">
        <f t="shared" si="10"/>
        <v>0</v>
      </c>
      <c r="D270">
        <f t="shared" si="11"/>
        <v>3</v>
      </c>
    </row>
    <row r="271" spans="1:4" x14ac:dyDescent="0.3">
      <c r="A271" t="str">
        <v>Lumber</v>
      </c>
      <c r="B271" t="str">
        <v>Positive Growth</v>
      </c>
      <c r="C271">
        <f t="shared" si="10"/>
        <v>1</v>
      </c>
      <c r="D271">
        <f t="shared" si="11"/>
        <v>0</v>
      </c>
    </row>
    <row r="272" spans="1:4" x14ac:dyDescent="0.3">
      <c r="A272" t="str">
        <v>Lumber</v>
      </c>
      <c r="B272" t="str">
        <v>Positive Growth</v>
      </c>
      <c r="C272">
        <f t="shared" si="10"/>
        <v>2</v>
      </c>
      <c r="D272">
        <f t="shared" si="11"/>
        <v>0</v>
      </c>
    </row>
    <row r="273" spans="1:4" x14ac:dyDescent="0.3">
      <c r="A273" t="str">
        <v>Lumber</v>
      </c>
      <c r="B273" t="str">
        <v>Negative Growth</v>
      </c>
      <c r="C273">
        <f t="shared" si="10"/>
        <v>0</v>
      </c>
      <c r="D273">
        <f t="shared" si="11"/>
        <v>1</v>
      </c>
    </row>
    <row r="274" spans="1:4" x14ac:dyDescent="0.3">
      <c r="A274" t="str">
        <v>Lumber</v>
      </c>
      <c r="B274" t="str">
        <v>Positive Growth</v>
      </c>
      <c r="C274">
        <f t="shared" si="10"/>
        <v>1</v>
      </c>
      <c r="D274">
        <f t="shared" si="11"/>
        <v>0</v>
      </c>
    </row>
    <row r="275" spans="1:4" x14ac:dyDescent="0.3">
      <c r="A275" t="str">
        <v>Lumber</v>
      </c>
      <c r="B275" t="str">
        <v>Negative Growth</v>
      </c>
      <c r="C275">
        <f t="shared" si="10"/>
        <v>0</v>
      </c>
      <c r="D275">
        <f t="shared" si="11"/>
        <v>1</v>
      </c>
    </row>
    <row r="276" spans="1:4" x14ac:dyDescent="0.3">
      <c r="A276" t="str">
        <v>Lumber</v>
      </c>
      <c r="B276" t="str">
        <v>Negative Growth</v>
      </c>
      <c r="C276">
        <f t="shared" si="10"/>
        <v>0</v>
      </c>
      <c r="D276">
        <f t="shared" si="11"/>
        <v>2</v>
      </c>
    </row>
    <row r="277" spans="1:4" x14ac:dyDescent="0.3">
      <c r="A277" t="str">
        <v>Lumber</v>
      </c>
      <c r="B277" t="str">
        <v>Negative Growth</v>
      </c>
      <c r="C277">
        <f t="shared" si="10"/>
        <v>0</v>
      </c>
      <c r="D277">
        <f t="shared" si="11"/>
        <v>3</v>
      </c>
    </row>
    <row r="278" spans="1:4" x14ac:dyDescent="0.3">
      <c r="A278" t="str">
        <v>Lumber</v>
      </c>
      <c r="B278" t="str">
        <v>Positive Growth</v>
      </c>
      <c r="C278">
        <f t="shared" si="10"/>
        <v>1</v>
      </c>
      <c r="D278">
        <f t="shared" si="11"/>
        <v>0</v>
      </c>
    </row>
    <row r="279" spans="1:4" x14ac:dyDescent="0.3">
      <c r="A279" t="str">
        <v>Lumber</v>
      </c>
      <c r="B279" t="str">
        <v>Positive Growth</v>
      </c>
      <c r="C279">
        <f t="shared" si="10"/>
        <v>2</v>
      </c>
      <c r="D279">
        <f t="shared" si="11"/>
        <v>0</v>
      </c>
    </row>
    <row r="280" spans="1:4" x14ac:dyDescent="0.3">
      <c r="A280" t="str">
        <v>Lumber</v>
      </c>
      <c r="B280" t="str">
        <v>Negative Growth</v>
      </c>
      <c r="C280">
        <f t="shared" si="10"/>
        <v>0</v>
      </c>
      <c r="D280">
        <f t="shared" si="11"/>
        <v>1</v>
      </c>
    </row>
    <row r="281" spans="1:4" x14ac:dyDescent="0.3">
      <c r="A281" t="str">
        <v>Lumber</v>
      </c>
      <c r="B281" t="str">
        <v>Positive Growth</v>
      </c>
      <c r="C281">
        <f t="shared" si="10"/>
        <v>1</v>
      </c>
      <c r="D281">
        <f t="shared" si="11"/>
        <v>0</v>
      </c>
    </row>
    <row r="282" spans="1:4" x14ac:dyDescent="0.3">
      <c r="A282" t="str">
        <v>Lumber</v>
      </c>
      <c r="B282" t="str">
        <v>Positive Growth</v>
      </c>
      <c r="C282">
        <f t="shared" si="10"/>
        <v>2</v>
      </c>
      <c r="D282">
        <f t="shared" si="11"/>
        <v>0</v>
      </c>
    </row>
    <row r="283" spans="1:4" x14ac:dyDescent="0.3">
      <c r="A283" t="str">
        <v>Lumber</v>
      </c>
      <c r="B283" t="str">
        <v>Positive Growth</v>
      </c>
      <c r="C283">
        <f t="shared" si="10"/>
        <v>3</v>
      </c>
      <c r="D283">
        <f t="shared" si="11"/>
        <v>0</v>
      </c>
    </row>
    <row r="284" spans="1:4" x14ac:dyDescent="0.3">
      <c r="A284" t="str">
        <v>Lumber</v>
      </c>
      <c r="B284" t="str">
        <v>Negative Growth</v>
      </c>
      <c r="C284">
        <f t="shared" si="10"/>
        <v>0</v>
      </c>
      <c r="D284">
        <f t="shared" si="11"/>
        <v>1</v>
      </c>
    </row>
    <row r="285" spans="1:4" x14ac:dyDescent="0.3">
      <c r="A285" t="str">
        <v>Lumber</v>
      </c>
      <c r="B285" t="str">
        <v>Positive Growth</v>
      </c>
      <c r="C285">
        <f t="shared" si="10"/>
        <v>1</v>
      </c>
      <c r="D285">
        <f t="shared" si="11"/>
        <v>0</v>
      </c>
    </row>
    <row r="286" spans="1:4" x14ac:dyDescent="0.3">
      <c r="A286" t="str">
        <v>Lumber</v>
      </c>
      <c r="B286" t="str">
        <v>Negative Growth</v>
      </c>
      <c r="C286">
        <f t="shared" si="10"/>
        <v>0</v>
      </c>
      <c r="D286">
        <f t="shared" si="11"/>
        <v>1</v>
      </c>
    </row>
    <row r="287" spans="1:4" x14ac:dyDescent="0.3">
      <c r="A287" t="str">
        <v>Oats</v>
      </c>
      <c r="B287" t="str">
        <v>Negative Growth</v>
      </c>
      <c r="C287">
        <f t="shared" si="10"/>
        <v>0</v>
      </c>
      <c r="D287">
        <f t="shared" si="11"/>
        <v>1</v>
      </c>
    </row>
    <row r="288" spans="1:4" x14ac:dyDescent="0.3">
      <c r="A288" t="str">
        <v>Oats</v>
      </c>
      <c r="B288" t="str">
        <v>Positive Growth</v>
      </c>
      <c r="C288">
        <f t="shared" si="10"/>
        <v>1</v>
      </c>
      <c r="D288">
        <f t="shared" si="11"/>
        <v>0</v>
      </c>
    </row>
    <row r="289" spans="1:4" x14ac:dyDescent="0.3">
      <c r="A289" t="str">
        <v>Oats</v>
      </c>
      <c r="B289" t="str">
        <v>Positive Growth</v>
      </c>
      <c r="C289">
        <f t="shared" si="10"/>
        <v>2</v>
      </c>
      <c r="D289">
        <f t="shared" si="11"/>
        <v>0</v>
      </c>
    </row>
    <row r="290" spans="1:4" x14ac:dyDescent="0.3">
      <c r="A290" t="str">
        <v>Oats</v>
      </c>
      <c r="B290" t="str">
        <v>Positive Growth</v>
      </c>
      <c r="C290">
        <f t="shared" si="10"/>
        <v>3</v>
      </c>
      <c r="D290">
        <f t="shared" si="11"/>
        <v>0</v>
      </c>
    </row>
    <row r="291" spans="1:4" x14ac:dyDescent="0.3">
      <c r="A291" t="str">
        <v>Oats</v>
      </c>
      <c r="B291" t="str">
        <v>Negative Growth</v>
      </c>
      <c r="C291">
        <f t="shared" si="10"/>
        <v>0</v>
      </c>
      <c r="D291">
        <f t="shared" si="11"/>
        <v>1</v>
      </c>
    </row>
    <row r="292" spans="1:4" x14ac:dyDescent="0.3">
      <c r="A292" t="str">
        <v>Oats</v>
      </c>
      <c r="B292" t="str">
        <v>Positive Growth</v>
      </c>
      <c r="C292">
        <f t="shared" si="10"/>
        <v>1</v>
      </c>
      <c r="D292">
        <f t="shared" si="11"/>
        <v>0</v>
      </c>
    </row>
    <row r="293" spans="1:4" x14ac:dyDescent="0.3">
      <c r="A293" t="str">
        <v>Oats</v>
      </c>
      <c r="B293" t="str">
        <v>Negative Growth</v>
      </c>
      <c r="C293">
        <f t="shared" si="10"/>
        <v>0</v>
      </c>
      <c r="D293">
        <f t="shared" si="11"/>
        <v>1</v>
      </c>
    </row>
    <row r="294" spans="1:4" x14ac:dyDescent="0.3">
      <c r="A294" t="str">
        <v>Oats</v>
      </c>
      <c r="B294" t="str">
        <v>Negative Growth</v>
      </c>
      <c r="C294">
        <f t="shared" si="10"/>
        <v>0</v>
      </c>
      <c r="D294">
        <f t="shared" si="11"/>
        <v>2</v>
      </c>
    </row>
    <row r="295" spans="1:4" x14ac:dyDescent="0.3">
      <c r="A295" t="str">
        <v>Oats</v>
      </c>
      <c r="B295" t="str">
        <v>Positive Growth</v>
      </c>
      <c r="C295">
        <f t="shared" si="10"/>
        <v>1</v>
      </c>
      <c r="D295">
        <f t="shared" si="11"/>
        <v>0</v>
      </c>
    </row>
    <row r="296" spans="1:4" x14ac:dyDescent="0.3">
      <c r="A296" t="str">
        <v>Oats</v>
      </c>
      <c r="B296" t="str">
        <v>Positive Growth</v>
      </c>
      <c r="C296">
        <f t="shared" si="10"/>
        <v>2</v>
      </c>
      <c r="D296">
        <f t="shared" si="11"/>
        <v>0</v>
      </c>
    </row>
    <row r="297" spans="1:4" x14ac:dyDescent="0.3">
      <c r="A297" t="str">
        <v>Oats</v>
      </c>
      <c r="B297" t="str">
        <v>Negative Growth</v>
      </c>
      <c r="C297">
        <f t="shared" si="10"/>
        <v>0</v>
      </c>
      <c r="D297">
        <f t="shared" si="11"/>
        <v>1</v>
      </c>
    </row>
    <row r="298" spans="1:4" x14ac:dyDescent="0.3">
      <c r="A298" t="str">
        <v>Oats</v>
      </c>
      <c r="B298" t="str">
        <v>Negative Growth</v>
      </c>
      <c r="C298">
        <f t="shared" si="10"/>
        <v>0</v>
      </c>
      <c r="D298">
        <f t="shared" si="11"/>
        <v>2</v>
      </c>
    </row>
    <row r="299" spans="1:4" x14ac:dyDescent="0.3">
      <c r="A299" t="str">
        <v>Oats</v>
      </c>
      <c r="B299" t="str">
        <v>Positive Growth</v>
      </c>
      <c r="C299">
        <f t="shared" si="10"/>
        <v>1</v>
      </c>
      <c r="D299">
        <f t="shared" si="11"/>
        <v>0</v>
      </c>
    </row>
    <row r="300" spans="1:4" x14ac:dyDescent="0.3">
      <c r="A300" t="str">
        <v>Oats</v>
      </c>
      <c r="B300" t="str">
        <v>Negative Growth</v>
      </c>
      <c r="C300">
        <f t="shared" si="10"/>
        <v>0</v>
      </c>
      <c r="D300">
        <f t="shared" si="11"/>
        <v>1</v>
      </c>
    </row>
    <row r="301" spans="1:4" x14ac:dyDescent="0.3">
      <c r="A301" t="str">
        <v>Oats</v>
      </c>
      <c r="B301" t="str">
        <v>Negative Growth</v>
      </c>
      <c r="C301">
        <f t="shared" si="10"/>
        <v>0</v>
      </c>
      <c r="D301">
        <f t="shared" si="11"/>
        <v>2</v>
      </c>
    </row>
    <row r="302" spans="1:4" x14ac:dyDescent="0.3">
      <c r="A302" t="str">
        <v>Oats</v>
      </c>
      <c r="B302" t="str">
        <v>Positive Growth</v>
      </c>
      <c r="C302">
        <f t="shared" si="10"/>
        <v>1</v>
      </c>
      <c r="D302">
        <f t="shared" si="11"/>
        <v>0</v>
      </c>
    </row>
    <row r="303" spans="1:4" x14ac:dyDescent="0.3">
      <c r="A303" t="str">
        <v>Oats</v>
      </c>
      <c r="B303" t="str">
        <v>Positive Growth</v>
      </c>
      <c r="C303">
        <f t="shared" si="10"/>
        <v>2</v>
      </c>
      <c r="D303">
        <f t="shared" si="11"/>
        <v>0</v>
      </c>
    </row>
    <row r="304" spans="1:4" x14ac:dyDescent="0.3">
      <c r="A304" t="str">
        <v>Oats</v>
      </c>
      <c r="B304" t="str">
        <v>Positive Growth</v>
      </c>
      <c r="C304">
        <f t="shared" si="10"/>
        <v>3</v>
      </c>
      <c r="D304">
        <f t="shared" si="11"/>
        <v>0</v>
      </c>
    </row>
    <row r="305" spans="1:4" x14ac:dyDescent="0.3">
      <c r="A305" t="str">
        <v>Oats</v>
      </c>
      <c r="B305" t="str">
        <v>Negative Growth</v>
      </c>
      <c r="C305">
        <f t="shared" si="10"/>
        <v>0</v>
      </c>
      <c r="D305">
        <f t="shared" si="11"/>
        <v>1</v>
      </c>
    </row>
    <row r="306" spans="1:4" x14ac:dyDescent="0.3">
      <c r="A306" t="str">
        <v>Oats</v>
      </c>
      <c r="B306" t="str">
        <v>Negative Growth</v>
      </c>
      <c r="C306">
        <f t="shared" si="10"/>
        <v>0</v>
      </c>
      <c r="D306">
        <f t="shared" si="11"/>
        <v>2</v>
      </c>
    </row>
    <row r="307" spans="1:4" x14ac:dyDescent="0.3">
      <c r="A307" t="str">
        <v>Oats</v>
      </c>
      <c r="B307" t="str">
        <v>Positive Growth</v>
      </c>
      <c r="C307">
        <f t="shared" si="10"/>
        <v>1</v>
      </c>
      <c r="D307">
        <f t="shared" si="11"/>
        <v>0</v>
      </c>
    </row>
    <row r="308" spans="1:4" x14ac:dyDescent="0.3">
      <c r="A308" t="str">
        <v>Oats</v>
      </c>
      <c r="B308" t="str">
        <v>Positive Growth</v>
      </c>
      <c r="C308">
        <f t="shared" si="10"/>
        <v>2</v>
      </c>
      <c r="D308">
        <f t="shared" si="11"/>
        <v>0</v>
      </c>
    </row>
    <row r="309" spans="1:4" x14ac:dyDescent="0.3">
      <c r="A309" t="str">
        <v>Oats</v>
      </c>
      <c r="B309" t="str">
        <v>Negative Growth</v>
      </c>
      <c r="C309">
        <f t="shared" si="10"/>
        <v>0</v>
      </c>
      <c r="D309">
        <f t="shared" si="11"/>
        <v>1</v>
      </c>
    </row>
    <row r="310" spans="1:4" x14ac:dyDescent="0.3">
      <c r="A310" t="str">
        <v>Oats</v>
      </c>
      <c r="B310" t="str">
        <v>Negative Growth</v>
      </c>
      <c r="C310">
        <f t="shared" si="10"/>
        <v>0</v>
      </c>
      <c r="D310">
        <f t="shared" si="11"/>
        <v>2</v>
      </c>
    </row>
    <row r="311" spans="1:4" x14ac:dyDescent="0.3">
      <c r="A311" t="str">
        <v>Oats</v>
      </c>
      <c r="B311" t="str">
        <v>Positive Growth</v>
      </c>
      <c r="C311">
        <f t="shared" si="10"/>
        <v>1</v>
      </c>
      <c r="D311">
        <f t="shared" si="11"/>
        <v>0</v>
      </c>
    </row>
    <row r="312" spans="1:4" x14ac:dyDescent="0.3">
      <c r="A312" t="str">
        <v>Oats</v>
      </c>
      <c r="B312" t="str">
        <v>Negative Growth</v>
      </c>
      <c r="C312">
        <f t="shared" si="10"/>
        <v>0</v>
      </c>
      <c r="D312">
        <f t="shared" si="11"/>
        <v>1</v>
      </c>
    </row>
    <row r="313" spans="1:4" x14ac:dyDescent="0.3">
      <c r="A313" t="str">
        <v>Oats</v>
      </c>
      <c r="B313" t="str">
        <v>Negative Growth</v>
      </c>
      <c r="C313">
        <f t="shared" si="10"/>
        <v>0</v>
      </c>
      <c r="D313">
        <f t="shared" si="11"/>
        <v>2</v>
      </c>
    </row>
    <row r="314" spans="1:4" x14ac:dyDescent="0.3">
      <c r="A314" t="str">
        <v>Oats</v>
      </c>
      <c r="B314" t="str">
        <v>Negative Growth</v>
      </c>
      <c r="C314">
        <f t="shared" si="10"/>
        <v>0</v>
      </c>
      <c r="D314">
        <f t="shared" si="11"/>
        <v>3</v>
      </c>
    </row>
    <row r="315" spans="1:4" x14ac:dyDescent="0.3">
      <c r="A315" t="str">
        <v>Oats</v>
      </c>
      <c r="B315" t="str">
        <v>Positive Growth</v>
      </c>
      <c r="C315">
        <f t="shared" si="10"/>
        <v>1</v>
      </c>
      <c r="D315">
        <f t="shared" si="11"/>
        <v>0</v>
      </c>
    </row>
    <row r="316" spans="1:4" x14ac:dyDescent="0.3">
      <c r="A316" t="str">
        <v>Oats</v>
      </c>
      <c r="B316" t="str">
        <v>Positive Growth</v>
      </c>
      <c r="C316">
        <f t="shared" si="10"/>
        <v>2</v>
      </c>
      <c r="D316">
        <f t="shared" si="11"/>
        <v>0</v>
      </c>
    </row>
    <row r="317" spans="1:4" x14ac:dyDescent="0.3">
      <c r="A317" t="str">
        <v>Oats</v>
      </c>
      <c r="B317" t="str">
        <v>Positive Growth</v>
      </c>
      <c r="C317">
        <f t="shared" si="10"/>
        <v>3</v>
      </c>
      <c r="D317">
        <f t="shared" si="11"/>
        <v>0</v>
      </c>
    </row>
    <row r="318" spans="1:4" x14ac:dyDescent="0.3">
      <c r="A318" t="str">
        <v>Oats</v>
      </c>
      <c r="B318" t="str">
        <v>Positive Growth</v>
      </c>
      <c r="C318">
        <f t="shared" si="10"/>
        <v>4</v>
      </c>
      <c r="D318">
        <f t="shared" si="11"/>
        <v>0</v>
      </c>
    </row>
    <row r="319" spans="1:4" x14ac:dyDescent="0.3">
      <c r="A319" t="str">
        <v>Oats</v>
      </c>
      <c r="B319" t="str">
        <v>Negative Growth</v>
      </c>
      <c r="C319">
        <f t="shared" si="10"/>
        <v>0</v>
      </c>
      <c r="D319">
        <f t="shared" si="11"/>
        <v>1</v>
      </c>
    </row>
    <row r="320" spans="1:4" x14ac:dyDescent="0.3">
      <c r="A320" t="str">
        <v>Oats</v>
      </c>
      <c r="B320" t="str">
        <v>Positive Growth</v>
      </c>
      <c r="C320">
        <f t="shared" si="10"/>
        <v>1</v>
      </c>
      <c r="D320">
        <f t="shared" si="11"/>
        <v>0</v>
      </c>
    </row>
    <row r="321" spans="1:4" x14ac:dyDescent="0.3">
      <c r="A321" t="str">
        <v>Oats</v>
      </c>
      <c r="B321" t="str">
        <v>Positive Growth</v>
      </c>
      <c r="C321">
        <f t="shared" si="10"/>
        <v>2</v>
      </c>
      <c r="D321">
        <f t="shared" si="11"/>
        <v>0</v>
      </c>
    </row>
    <row r="322" spans="1:4" x14ac:dyDescent="0.3">
      <c r="A322" t="str">
        <v>Oats</v>
      </c>
      <c r="B322" t="str">
        <v>Positive Growth</v>
      </c>
      <c r="C322">
        <f t="shared" si="10"/>
        <v>3</v>
      </c>
      <c r="D322">
        <f t="shared" si="11"/>
        <v>0</v>
      </c>
    </row>
    <row r="323" spans="1:4" x14ac:dyDescent="0.3">
      <c r="A323" t="str">
        <v>Oats</v>
      </c>
      <c r="B323" t="str">
        <v>Positive Growth</v>
      </c>
      <c r="C323">
        <f t="shared" si="10"/>
        <v>4</v>
      </c>
      <c r="D323">
        <f t="shared" si="11"/>
        <v>0</v>
      </c>
    </row>
    <row r="324" spans="1:4" x14ac:dyDescent="0.3">
      <c r="A324" t="str">
        <v>Oats</v>
      </c>
      <c r="B324" t="str">
        <v>Negative Growth</v>
      </c>
      <c r="C324">
        <f t="shared" ref="C324:C387" si="12">IF(A324&lt;&gt;A323,IF(B324="Positive Growth",1,0),IF(B324="Positive Growth",IF(B323="Positive Growth",C323+1,1),0))</f>
        <v>0</v>
      </c>
      <c r="D324">
        <f t="shared" ref="D324:D387" si="13">IF(A324&lt;&gt;A323,IF(B324="Negative Growth",1,0),IF(B324="Negative Growth",IF(B323="Negative Growth",D323+1,1),0))</f>
        <v>1</v>
      </c>
    </row>
    <row r="325" spans="1:4" x14ac:dyDescent="0.3">
      <c r="A325" t="str">
        <v>Oats</v>
      </c>
      <c r="B325" t="str">
        <v>Positive Growth</v>
      </c>
      <c r="C325">
        <f t="shared" si="12"/>
        <v>1</v>
      </c>
      <c r="D325">
        <f t="shared" si="13"/>
        <v>0</v>
      </c>
    </row>
    <row r="326" spans="1:4" x14ac:dyDescent="0.3">
      <c r="A326" t="str">
        <v>Oats</v>
      </c>
      <c r="B326" t="str">
        <v>Positive Growth</v>
      </c>
      <c r="C326">
        <f t="shared" si="12"/>
        <v>2</v>
      </c>
      <c r="D326">
        <f t="shared" si="13"/>
        <v>0</v>
      </c>
    </row>
    <row r="327" spans="1:4" x14ac:dyDescent="0.3">
      <c r="A327" t="str">
        <v>Oats</v>
      </c>
      <c r="B327" t="str">
        <v>Negative Growth</v>
      </c>
      <c r="C327">
        <f t="shared" si="12"/>
        <v>0</v>
      </c>
      <c r="D327">
        <f t="shared" si="13"/>
        <v>1</v>
      </c>
    </row>
    <row r="328" spans="1:4" x14ac:dyDescent="0.3">
      <c r="A328" t="str">
        <v>Oats</v>
      </c>
      <c r="B328" t="str">
        <v>Positive Growth</v>
      </c>
      <c r="C328">
        <f t="shared" si="12"/>
        <v>1</v>
      </c>
      <c r="D328">
        <f t="shared" si="13"/>
        <v>0</v>
      </c>
    </row>
    <row r="329" spans="1:4" x14ac:dyDescent="0.3">
      <c r="A329" t="str">
        <v>Oats</v>
      </c>
      <c r="B329" t="str">
        <v>Positive Growth</v>
      </c>
      <c r="C329">
        <f t="shared" si="12"/>
        <v>2</v>
      </c>
      <c r="D329">
        <f t="shared" si="13"/>
        <v>0</v>
      </c>
    </row>
    <row r="330" spans="1:4" x14ac:dyDescent="0.3">
      <c r="A330" t="str">
        <v>Oats</v>
      </c>
      <c r="B330" t="str">
        <v>Negative Growth</v>
      </c>
      <c r="C330">
        <f t="shared" si="12"/>
        <v>0</v>
      </c>
      <c r="D330">
        <f t="shared" si="13"/>
        <v>1</v>
      </c>
    </row>
    <row r="331" spans="1:4" x14ac:dyDescent="0.3">
      <c r="A331" t="str">
        <v>Oats</v>
      </c>
      <c r="B331" t="str">
        <v>Negative Growth</v>
      </c>
      <c r="C331">
        <f t="shared" si="12"/>
        <v>0</v>
      </c>
      <c r="D331">
        <f t="shared" si="13"/>
        <v>2</v>
      </c>
    </row>
    <row r="332" spans="1:4" x14ac:dyDescent="0.3">
      <c r="A332" t="str">
        <v>Oats</v>
      </c>
      <c r="B332" t="str">
        <v>Positive Growth</v>
      </c>
      <c r="C332">
        <f t="shared" si="12"/>
        <v>1</v>
      </c>
      <c r="D332">
        <f t="shared" si="13"/>
        <v>0</v>
      </c>
    </row>
    <row r="333" spans="1:4" x14ac:dyDescent="0.3">
      <c r="A333" t="str">
        <v>Oats</v>
      </c>
      <c r="B333" t="str">
        <v>Positive Growth</v>
      </c>
      <c r="C333">
        <f t="shared" si="12"/>
        <v>2</v>
      </c>
      <c r="D333">
        <f t="shared" si="13"/>
        <v>0</v>
      </c>
    </row>
    <row r="334" spans="1:4" x14ac:dyDescent="0.3">
      <c r="A334" t="str">
        <v>Oats</v>
      </c>
      <c r="B334" t="str">
        <v>Positive Growth</v>
      </c>
      <c r="C334">
        <f t="shared" si="12"/>
        <v>3</v>
      </c>
      <c r="D334">
        <f t="shared" si="13"/>
        <v>0</v>
      </c>
    </row>
    <row r="335" spans="1:4" x14ac:dyDescent="0.3">
      <c r="A335" t="str">
        <v>Oats</v>
      </c>
      <c r="B335" t="str">
        <v>Positive Growth</v>
      </c>
      <c r="C335">
        <f t="shared" si="12"/>
        <v>4</v>
      </c>
      <c r="D335">
        <f t="shared" si="13"/>
        <v>0</v>
      </c>
    </row>
    <row r="336" spans="1:4" x14ac:dyDescent="0.3">
      <c r="A336" t="str">
        <v>Oats</v>
      </c>
      <c r="B336" t="str">
        <v>Positive Growth</v>
      </c>
      <c r="C336">
        <f t="shared" si="12"/>
        <v>5</v>
      </c>
      <c r="D336">
        <f t="shared" si="13"/>
        <v>0</v>
      </c>
    </row>
    <row r="337" spans="1:4" x14ac:dyDescent="0.3">
      <c r="A337" t="str">
        <v>Oats</v>
      </c>
      <c r="B337" t="str">
        <v>Positive Growth</v>
      </c>
      <c r="C337">
        <f t="shared" si="12"/>
        <v>6</v>
      </c>
      <c r="D337">
        <f t="shared" si="13"/>
        <v>0</v>
      </c>
    </row>
    <row r="338" spans="1:4" x14ac:dyDescent="0.3">
      <c r="A338" t="str">
        <v>Oats</v>
      </c>
      <c r="B338" t="str">
        <v>Negative Growth</v>
      </c>
      <c r="C338">
        <f t="shared" si="12"/>
        <v>0</v>
      </c>
      <c r="D338">
        <f t="shared" si="13"/>
        <v>1</v>
      </c>
    </row>
    <row r="339" spans="1:4" x14ac:dyDescent="0.3">
      <c r="A339" t="str">
        <v>Oats</v>
      </c>
      <c r="B339" t="str">
        <v>Positive Growth</v>
      </c>
      <c r="C339">
        <f t="shared" si="12"/>
        <v>1</v>
      </c>
      <c r="D339">
        <f t="shared" si="13"/>
        <v>0</v>
      </c>
    </row>
    <row r="340" spans="1:4" x14ac:dyDescent="0.3">
      <c r="A340" t="str">
        <v>Oats</v>
      </c>
      <c r="B340" t="str">
        <v>Negative Growth</v>
      </c>
      <c r="C340">
        <f t="shared" si="12"/>
        <v>0</v>
      </c>
      <c r="D340">
        <f t="shared" si="13"/>
        <v>1</v>
      </c>
    </row>
    <row r="341" spans="1:4" x14ac:dyDescent="0.3">
      <c r="A341" t="str">
        <v>Soybean</v>
      </c>
      <c r="B341" t="str">
        <v>Positive Growth</v>
      </c>
      <c r="C341">
        <f t="shared" si="12"/>
        <v>1</v>
      </c>
      <c r="D341">
        <f t="shared" si="13"/>
        <v>0</v>
      </c>
    </row>
    <row r="342" spans="1:4" x14ac:dyDescent="0.3">
      <c r="A342" t="str">
        <v>Soybean</v>
      </c>
      <c r="B342" t="str">
        <v>Positive Growth</v>
      </c>
      <c r="C342">
        <f t="shared" si="12"/>
        <v>2</v>
      </c>
      <c r="D342">
        <f t="shared" si="13"/>
        <v>0</v>
      </c>
    </row>
    <row r="343" spans="1:4" x14ac:dyDescent="0.3">
      <c r="A343" t="str">
        <v>Soybean</v>
      </c>
      <c r="B343" t="str">
        <v>Positive Growth</v>
      </c>
      <c r="C343">
        <f t="shared" si="12"/>
        <v>3</v>
      </c>
      <c r="D343">
        <f t="shared" si="13"/>
        <v>0</v>
      </c>
    </row>
    <row r="344" spans="1:4" x14ac:dyDescent="0.3">
      <c r="A344" t="str">
        <v>Soybean</v>
      </c>
      <c r="B344" t="str">
        <v>Positive Growth</v>
      </c>
      <c r="C344">
        <f t="shared" si="12"/>
        <v>4</v>
      </c>
      <c r="D344">
        <f t="shared" si="13"/>
        <v>0</v>
      </c>
    </row>
    <row r="345" spans="1:4" x14ac:dyDescent="0.3">
      <c r="A345" t="str">
        <v>Soybean</v>
      </c>
      <c r="B345" t="str">
        <v>Positive Growth</v>
      </c>
      <c r="C345">
        <f t="shared" si="12"/>
        <v>5</v>
      </c>
      <c r="D345">
        <f t="shared" si="13"/>
        <v>0</v>
      </c>
    </row>
    <row r="346" spans="1:4" x14ac:dyDescent="0.3">
      <c r="A346" t="str">
        <v>Soybean</v>
      </c>
      <c r="B346" t="str">
        <v>Positive Growth</v>
      </c>
      <c r="C346">
        <f t="shared" si="12"/>
        <v>6</v>
      </c>
      <c r="D346">
        <f t="shared" si="13"/>
        <v>0</v>
      </c>
    </row>
    <row r="347" spans="1:4" x14ac:dyDescent="0.3">
      <c r="A347" t="str">
        <v>Soybean</v>
      </c>
      <c r="B347" t="str">
        <v>Negative Growth</v>
      </c>
      <c r="C347">
        <f t="shared" si="12"/>
        <v>0</v>
      </c>
      <c r="D347">
        <f t="shared" si="13"/>
        <v>1</v>
      </c>
    </row>
    <row r="348" spans="1:4" x14ac:dyDescent="0.3">
      <c r="A348" t="str">
        <v>Soybean</v>
      </c>
      <c r="B348" t="str">
        <v>Positive Growth</v>
      </c>
      <c r="C348">
        <f t="shared" si="12"/>
        <v>1</v>
      </c>
      <c r="D348">
        <f t="shared" si="13"/>
        <v>0</v>
      </c>
    </row>
    <row r="349" spans="1:4" x14ac:dyDescent="0.3">
      <c r="A349" t="str">
        <v>Soybean</v>
      </c>
      <c r="B349" t="str">
        <v>Negative Growth</v>
      </c>
      <c r="C349">
        <f t="shared" si="12"/>
        <v>0</v>
      </c>
      <c r="D349">
        <f t="shared" si="13"/>
        <v>1</v>
      </c>
    </row>
    <row r="350" spans="1:4" x14ac:dyDescent="0.3">
      <c r="A350" t="str">
        <v>Soybean</v>
      </c>
      <c r="B350" t="str">
        <v>Positive Growth</v>
      </c>
      <c r="C350">
        <f t="shared" si="12"/>
        <v>1</v>
      </c>
      <c r="D350">
        <f t="shared" si="13"/>
        <v>0</v>
      </c>
    </row>
    <row r="351" spans="1:4" x14ac:dyDescent="0.3">
      <c r="A351" t="str">
        <v>Soybean</v>
      </c>
      <c r="B351" t="str">
        <v>Negative Growth</v>
      </c>
      <c r="C351">
        <f t="shared" si="12"/>
        <v>0</v>
      </c>
      <c r="D351">
        <f t="shared" si="13"/>
        <v>1</v>
      </c>
    </row>
    <row r="352" spans="1:4" x14ac:dyDescent="0.3">
      <c r="A352" t="str">
        <v>Soybean</v>
      </c>
      <c r="B352" t="str">
        <v>Positive Growth</v>
      </c>
      <c r="C352">
        <f t="shared" si="12"/>
        <v>1</v>
      </c>
      <c r="D352">
        <f t="shared" si="13"/>
        <v>0</v>
      </c>
    </row>
    <row r="353" spans="1:4" x14ac:dyDescent="0.3">
      <c r="A353" t="str">
        <v>Soybean</v>
      </c>
      <c r="B353" t="str">
        <v>Negative Growth</v>
      </c>
      <c r="C353">
        <f t="shared" si="12"/>
        <v>0</v>
      </c>
      <c r="D353">
        <f t="shared" si="13"/>
        <v>1</v>
      </c>
    </row>
    <row r="354" spans="1:4" x14ac:dyDescent="0.3">
      <c r="A354" t="str">
        <v>Soybean</v>
      </c>
      <c r="B354" t="str">
        <v>Negative Growth</v>
      </c>
      <c r="C354">
        <f t="shared" si="12"/>
        <v>0</v>
      </c>
      <c r="D354">
        <f t="shared" si="13"/>
        <v>2</v>
      </c>
    </row>
    <row r="355" spans="1:4" x14ac:dyDescent="0.3">
      <c r="A355" t="str">
        <v>Soybean</v>
      </c>
      <c r="B355" t="str">
        <v>Positive Growth</v>
      </c>
      <c r="C355">
        <f t="shared" si="12"/>
        <v>1</v>
      </c>
      <c r="D355">
        <f t="shared" si="13"/>
        <v>0</v>
      </c>
    </row>
    <row r="356" spans="1:4" x14ac:dyDescent="0.3">
      <c r="A356" t="str">
        <v>Soybean</v>
      </c>
      <c r="B356" t="str">
        <v>Negative Growth</v>
      </c>
      <c r="C356">
        <f t="shared" si="12"/>
        <v>0</v>
      </c>
      <c r="D356">
        <f t="shared" si="13"/>
        <v>1</v>
      </c>
    </row>
    <row r="357" spans="1:4" x14ac:dyDescent="0.3">
      <c r="A357" t="str">
        <v>Soybean</v>
      </c>
      <c r="B357" t="str">
        <v>Negative Growth</v>
      </c>
      <c r="C357">
        <f t="shared" si="12"/>
        <v>0</v>
      </c>
      <c r="D357">
        <f t="shared" si="13"/>
        <v>2</v>
      </c>
    </row>
    <row r="358" spans="1:4" x14ac:dyDescent="0.3">
      <c r="A358" t="str">
        <v>Soybean</v>
      </c>
      <c r="B358" t="str">
        <v>Negative Growth</v>
      </c>
      <c r="C358">
        <f t="shared" si="12"/>
        <v>0</v>
      </c>
      <c r="D358">
        <f t="shared" si="13"/>
        <v>3</v>
      </c>
    </row>
    <row r="359" spans="1:4" x14ac:dyDescent="0.3">
      <c r="A359" t="str">
        <v>Soybean</v>
      </c>
      <c r="B359" t="str">
        <v>Positive Growth</v>
      </c>
      <c r="C359">
        <f t="shared" si="12"/>
        <v>1</v>
      </c>
      <c r="D359">
        <f t="shared" si="13"/>
        <v>0</v>
      </c>
    </row>
    <row r="360" spans="1:4" x14ac:dyDescent="0.3">
      <c r="A360" t="str">
        <v>Soybean</v>
      </c>
      <c r="B360" t="str">
        <v>Positive Growth</v>
      </c>
      <c r="C360">
        <f t="shared" si="12"/>
        <v>2</v>
      </c>
      <c r="D360">
        <f t="shared" si="13"/>
        <v>0</v>
      </c>
    </row>
    <row r="361" spans="1:4" x14ac:dyDescent="0.3">
      <c r="A361" t="str">
        <v>Soybean</v>
      </c>
      <c r="B361" t="str">
        <v>Negative Growth</v>
      </c>
      <c r="C361">
        <f t="shared" si="12"/>
        <v>0</v>
      </c>
      <c r="D361">
        <f t="shared" si="13"/>
        <v>1</v>
      </c>
    </row>
    <row r="362" spans="1:4" x14ac:dyDescent="0.3">
      <c r="A362" t="str">
        <v>Soybean</v>
      </c>
      <c r="B362" t="str">
        <v>Negative Growth</v>
      </c>
      <c r="C362">
        <f t="shared" si="12"/>
        <v>0</v>
      </c>
      <c r="D362">
        <f t="shared" si="13"/>
        <v>2</v>
      </c>
    </row>
    <row r="363" spans="1:4" x14ac:dyDescent="0.3">
      <c r="A363" t="str">
        <v>Soybean</v>
      </c>
      <c r="B363" t="str">
        <v>Negative Growth</v>
      </c>
      <c r="C363">
        <f t="shared" si="12"/>
        <v>0</v>
      </c>
      <c r="D363">
        <f t="shared" si="13"/>
        <v>3</v>
      </c>
    </row>
    <row r="364" spans="1:4" x14ac:dyDescent="0.3">
      <c r="A364" t="str">
        <v>Soybean</v>
      </c>
      <c r="B364" t="str">
        <v>Positive Growth</v>
      </c>
      <c r="C364">
        <f t="shared" si="12"/>
        <v>1</v>
      </c>
      <c r="D364">
        <f t="shared" si="13"/>
        <v>0</v>
      </c>
    </row>
    <row r="365" spans="1:4" x14ac:dyDescent="0.3">
      <c r="A365" t="str">
        <v>Soybean</v>
      </c>
      <c r="B365" t="str">
        <v>Positive Growth</v>
      </c>
      <c r="C365">
        <f t="shared" si="12"/>
        <v>2</v>
      </c>
      <c r="D365">
        <f t="shared" si="13"/>
        <v>0</v>
      </c>
    </row>
    <row r="366" spans="1:4" x14ac:dyDescent="0.3">
      <c r="A366" t="str">
        <v>Soybean</v>
      </c>
      <c r="B366" t="str">
        <v>Negative Growth</v>
      </c>
      <c r="C366">
        <f t="shared" si="12"/>
        <v>0</v>
      </c>
      <c r="D366">
        <f t="shared" si="13"/>
        <v>1</v>
      </c>
    </row>
    <row r="367" spans="1:4" x14ac:dyDescent="0.3">
      <c r="A367" t="str">
        <v>Soybean</v>
      </c>
      <c r="B367" t="str">
        <v>Positive Growth</v>
      </c>
      <c r="C367">
        <f t="shared" si="12"/>
        <v>1</v>
      </c>
      <c r="D367">
        <f t="shared" si="13"/>
        <v>0</v>
      </c>
    </row>
    <row r="368" spans="1:4" x14ac:dyDescent="0.3">
      <c r="A368" t="str">
        <v>Soybean</v>
      </c>
      <c r="B368" t="str">
        <v>Negative Growth</v>
      </c>
      <c r="C368">
        <f t="shared" si="12"/>
        <v>0</v>
      </c>
      <c r="D368">
        <f t="shared" si="13"/>
        <v>1</v>
      </c>
    </row>
    <row r="369" spans="1:4" x14ac:dyDescent="0.3">
      <c r="A369" t="str">
        <v>Soybean</v>
      </c>
      <c r="B369" t="str">
        <v>Negative Growth</v>
      </c>
      <c r="C369">
        <f t="shared" si="12"/>
        <v>0</v>
      </c>
      <c r="D369">
        <f t="shared" si="13"/>
        <v>2</v>
      </c>
    </row>
    <row r="370" spans="1:4" x14ac:dyDescent="0.3">
      <c r="A370" t="str">
        <v>Soybean</v>
      </c>
      <c r="B370" t="str">
        <v>Negative Growth</v>
      </c>
      <c r="C370">
        <f t="shared" si="12"/>
        <v>0</v>
      </c>
      <c r="D370">
        <f t="shared" si="13"/>
        <v>3</v>
      </c>
    </row>
    <row r="371" spans="1:4" x14ac:dyDescent="0.3">
      <c r="A371" t="str">
        <v>Soybean</v>
      </c>
      <c r="B371" t="str">
        <v>Negative Growth</v>
      </c>
      <c r="C371">
        <f t="shared" si="12"/>
        <v>0</v>
      </c>
      <c r="D371">
        <f t="shared" si="13"/>
        <v>4</v>
      </c>
    </row>
    <row r="372" spans="1:4" x14ac:dyDescent="0.3">
      <c r="A372" t="str">
        <v>Soybean</v>
      </c>
      <c r="B372" t="str">
        <v>Positive Growth</v>
      </c>
      <c r="C372">
        <f t="shared" si="12"/>
        <v>1</v>
      </c>
      <c r="D372">
        <f t="shared" si="13"/>
        <v>0</v>
      </c>
    </row>
    <row r="373" spans="1:4" x14ac:dyDescent="0.3">
      <c r="A373" t="str">
        <v>Soybean</v>
      </c>
      <c r="B373" t="str">
        <v>Negative Growth</v>
      </c>
      <c r="C373">
        <f t="shared" si="12"/>
        <v>0</v>
      </c>
      <c r="D373">
        <f t="shared" si="13"/>
        <v>1</v>
      </c>
    </row>
    <row r="374" spans="1:4" x14ac:dyDescent="0.3">
      <c r="A374" t="str">
        <v>Soybean</v>
      </c>
      <c r="B374" t="str">
        <v>Positive Growth</v>
      </c>
      <c r="C374">
        <f t="shared" si="12"/>
        <v>1</v>
      </c>
      <c r="D374">
        <f t="shared" si="13"/>
        <v>0</v>
      </c>
    </row>
    <row r="375" spans="1:4" x14ac:dyDescent="0.3">
      <c r="A375" t="str">
        <v>Soybean</v>
      </c>
      <c r="B375" t="str">
        <v>Positive Growth</v>
      </c>
      <c r="C375">
        <f t="shared" si="12"/>
        <v>2</v>
      </c>
      <c r="D375">
        <f t="shared" si="13"/>
        <v>0</v>
      </c>
    </row>
    <row r="376" spans="1:4" x14ac:dyDescent="0.3">
      <c r="A376" t="str">
        <v>Soybean</v>
      </c>
      <c r="B376" t="str">
        <v>Negative Growth</v>
      </c>
      <c r="C376">
        <f t="shared" si="12"/>
        <v>0</v>
      </c>
      <c r="D376">
        <f t="shared" si="13"/>
        <v>1</v>
      </c>
    </row>
    <row r="377" spans="1:4" x14ac:dyDescent="0.3">
      <c r="A377" t="str">
        <v>Soybean</v>
      </c>
      <c r="B377" t="str">
        <v>Positive Growth</v>
      </c>
      <c r="C377">
        <f t="shared" si="12"/>
        <v>1</v>
      </c>
      <c r="D377">
        <f t="shared" si="13"/>
        <v>0</v>
      </c>
    </row>
    <row r="378" spans="1:4" x14ac:dyDescent="0.3">
      <c r="A378" t="str">
        <v>Soybean</v>
      </c>
      <c r="B378" t="str">
        <v>Positive Growth</v>
      </c>
      <c r="C378">
        <f t="shared" si="12"/>
        <v>2</v>
      </c>
      <c r="D378">
        <f t="shared" si="13"/>
        <v>0</v>
      </c>
    </row>
    <row r="379" spans="1:4" x14ac:dyDescent="0.3">
      <c r="A379" t="str">
        <v>Soybean</v>
      </c>
      <c r="B379" t="str">
        <v>Positive Growth</v>
      </c>
      <c r="C379">
        <f t="shared" si="12"/>
        <v>3</v>
      </c>
      <c r="D379">
        <f t="shared" si="13"/>
        <v>0</v>
      </c>
    </row>
    <row r="380" spans="1:4" x14ac:dyDescent="0.3">
      <c r="A380" t="str">
        <v>Soybean</v>
      </c>
      <c r="B380" t="str">
        <v>Negative Growth</v>
      </c>
      <c r="C380">
        <f t="shared" si="12"/>
        <v>0</v>
      </c>
      <c r="D380">
        <f t="shared" si="13"/>
        <v>1</v>
      </c>
    </row>
    <row r="381" spans="1:4" x14ac:dyDescent="0.3">
      <c r="A381" t="str">
        <v>Soybean</v>
      </c>
      <c r="B381" t="str">
        <v>Positive Growth</v>
      </c>
      <c r="C381">
        <f t="shared" si="12"/>
        <v>1</v>
      </c>
      <c r="D381">
        <f t="shared" si="13"/>
        <v>0</v>
      </c>
    </row>
    <row r="382" spans="1:4" x14ac:dyDescent="0.3">
      <c r="A382" t="str">
        <v>Soybean</v>
      </c>
      <c r="B382" t="str">
        <v>Positive Growth</v>
      </c>
      <c r="C382">
        <f t="shared" si="12"/>
        <v>2</v>
      </c>
      <c r="D382">
        <f t="shared" si="13"/>
        <v>0</v>
      </c>
    </row>
    <row r="383" spans="1:4" x14ac:dyDescent="0.3">
      <c r="A383" t="str">
        <v>Soybean</v>
      </c>
      <c r="B383" t="str">
        <v>Negative Growth</v>
      </c>
      <c r="C383">
        <f t="shared" si="12"/>
        <v>0</v>
      </c>
      <c r="D383">
        <f t="shared" si="13"/>
        <v>1</v>
      </c>
    </row>
    <row r="384" spans="1:4" x14ac:dyDescent="0.3">
      <c r="A384" t="str">
        <v>Soybean</v>
      </c>
      <c r="B384" t="str">
        <v>Positive Growth</v>
      </c>
      <c r="C384">
        <f t="shared" si="12"/>
        <v>1</v>
      </c>
      <c r="D384">
        <f t="shared" si="13"/>
        <v>0</v>
      </c>
    </row>
    <row r="385" spans="1:4" x14ac:dyDescent="0.3">
      <c r="A385" t="str">
        <v>Soybean</v>
      </c>
      <c r="B385" t="str">
        <v>Negative Growth</v>
      </c>
      <c r="C385">
        <f t="shared" si="12"/>
        <v>0</v>
      </c>
      <c r="D385">
        <f t="shared" si="13"/>
        <v>1</v>
      </c>
    </row>
    <row r="386" spans="1:4" x14ac:dyDescent="0.3">
      <c r="A386" t="str">
        <v>Soybean</v>
      </c>
      <c r="B386" t="str">
        <v>Negative Growth</v>
      </c>
      <c r="C386">
        <f t="shared" si="12"/>
        <v>0</v>
      </c>
      <c r="D386">
        <f t="shared" si="13"/>
        <v>2</v>
      </c>
    </row>
    <row r="387" spans="1:4" x14ac:dyDescent="0.3">
      <c r="A387" t="str">
        <v>Soybean</v>
      </c>
      <c r="B387" t="str">
        <v>Negative Growth</v>
      </c>
      <c r="C387">
        <f t="shared" si="12"/>
        <v>0</v>
      </c>
      <c r="D387">
        <f t="shared" si="13"/>
        <v>3</v>
      </c>
    </row>
    <row r="388" spans="1:4" x14ac:dyDescent="0.3">
      <c r="A388" t="str">
        <v>Soybean</v>
      </c>
      <c r="B388" t="str">
        <v>Positive Growth</v>
      </c>
      <c r="C388">
        <f t="shared" ref="C388:C451" si="14">IF(A388&lt;&gt;A387,IF(B388="Positive Growth",1,0),IF(B388="Positive Growth",IF(B387="Positive Growth",C387+1,1),0))</f>
        <v>1</v>
      </c>
      <c r="D388">
        <f t="shared" ref="D388:D451" si="15">IF(A388&lt;&gt;A387,IF(B388="Negative Growth",1,0),IF(B388="Negative Growth",IF(B387="Negative Growth",D387+1,1),0))</f>
        <v>0</v>
      </c>
    </row>
    <row r="389" spans="1:4" x14ac:dyDescent="0.3">
      <c r="A389" t="str">
        <v>Soybean</v>
      </c>
      <c r="B389" t="str">
        <v>Negative Growth</v>
      </c>
      <c r="C389">
        <f t="shared" si="14"/>
        <v>0</v>
      </c>
      <c r="D389">
        <f t="shared" si="15"/>
        <v>1</v>
      </c>
    </row>
    <row r="390" spans="1:4" x14ac:dyDescent="0.3">
      <c r="A390" t="str">
        <v>Soybean</v>
      </c>
      <c r="B390" t="str">
        <v>Negative Growth</v>
      </c>
      <c r="C390">
        <f t="shared" si="14"/>
        <v>0</v>
      </c>
      <c r="D390">
        <f t="shared" si="15"/>
        <v>2</v>
      </c>
    </row>
    <row r="391" spans="1:4" x14ac:dyDescent="0.3">
      <c r="A391" t="str">
        <v>Soybean</v>
      </c>
      <c r="B391" t="str">
        <v>Positive Growth</v>
      </c>
      <c r="C391">
        <f t="shared" si="14"/>
        <v>1</v>
      </c>
      <c r="D391">
        <f t="shared" si="15"/>
        <v>0</v>
      </c>
    </row>
    <row r="392" spans="1:4" x14ac:dyDescent="0.3">
      <c r="A392" t="str">
        <v>Soybean</v>
      </c>
      <c r="B392" t="str">
        <v>Positive Growth</v>
      </c>
      <c r="C392">
        <f t="shared" si="14"/>
        <v>2</v>
      </c>
      <c r="D392">
        <f t="shared" si="15"/>
        <v>0</v>
      </c>
    </row>
    <row r="393" spans="1:4" x14ac:dyDescent="0.3">
      <c r="A393" t="str">
        <v>Soybean</v>
      </c>
      <c r="B393" t="str">
        <v>Positive Growth</v>
      </c>
      <c r="C393">
        <f t="shared" si="14"/>
        <v>3</v>
      </c>
      <c r="D393">
        <f t="shared" si="15"/>
        <v>0</v>
      </c>
    </row>
    <row r="394" spans="1:4" x14ac:dyDescent="0.3">
      <c r="A394" t="str">
        <v>Soybean</v>
      </c>
      <c r="B394" t="str">
        <v>Positive Growth</v>
      </c>
      <c r="C394">
        <f t="shared" si="14"/>
        <v>4</v>
      </c>
      <c r="D394">
        <f t="shared" si="15"/>
        <v>0</v>
      </c>
    </row>
    <row r="395" spans="1:4" x14ac:dyDescent="0.3">
      <c r="A395" t="str">
        <v>Soybean</v>
      </c>
      <c r="B395" t="str">
        <v>Negative Growth</v>
      </c>
      <c r="C395">
        <f t="shared" si="14"/>
        <v>0</v>
      </c>
      <c r="D395">
        <f t="shared" si="15"/>
        <v>1</v>
      </c>
    </row>
    <row r="396" spans="1:4" x14ac:dyDescent="0.3">
      <c r="A396" t="str">
        <v>Soybean</v>
      </c>
      <c r="B396" t="str">
        <v>Negative Growth</v>
      </c>
      <c r="C396">
        <f t="shared" si="14"/>
        <v>0</v>
      </c>
      <c r="D396">
        <f t="shared" si="15"/>
        <v>2</v>
      </c>
    </row>
    <row r="397" spans="1:4" x14ac:dyDescent="0.3">
      <c r="A397" t="str">
        <v>Soybean Oil</v>
      </c>
      <c r="B397" t="str">
        <v>Positive Growth</v>
      </c>
      <c r="C397">
        <f t="shared" si="14"/>
        <v>1</v>
      </c>
      <c r="D397">
        <f t="shared" si="15"/>
        <v>0</v>
      </c>
    </row>
    <row r="398" spans="1:4" x14ac:dyDescent="0.3">
      <c r="A398" t="str">
        <v>Soybean Oil</v>
      </c>
      <c r="B398" t="str">
        <v>Negative Growth</v>
      </c>
      <c r="C398">
        <f t="shared" si="14"/>
        <v>0</v>
      </c>
      <c r="D398">
        <f t="shared" si="15"/>
        <v>1</v>
      </c>
    </row>
    <row r="399" spans="1:4" x14ac:dyDescent="0.3">
      <c r="A399" t="str">
        <v>Soybean Oil</v>
      </c>
      <c r="B399" t="str">
        <v>Negative Growth</v>
      </c>
      <c r="C399">
        <f t="shared" si="14"/>
        <v>0</v>
      </c>
      <c r="D399">
        <f t="shared" si="15"/>
        <v>2</v>
      </c>
    </row>
    <row r="400" spans="1:4" x14ac:dyDescent="0.3">
      <c r="A400" t="str">
        <v>Soybean Oil</v>
      </c>
      <c r="B400" t="str">
        <v>Positive Growth</v>
      </c>
      <c r="C400">
        <f t="shared" si="14"/>
        <v>1</v>
      </c>
      <c r="D400">
        <f t="shared" si="15"/>
        <v>0</v>
      </c>
    </row>
    <row r="401" spans="1:4" x14ac:dyDescent="0.3">
      <c r="A401" t="str">
        <v>Soybean Oil</v>
      </c>
      <c r="B401" t="str">
        <v>Negative Growth</v>
      </c>
      <c r="C401">
        <f t="shared" si="14"/>
        <v>0</v>
      </c>
      <c r="D401">
        <f t="shared" si="15"/>
        <v>1</v>
      </c>
    </row>
    <row r="402" spans="1:4" x14ac:dyDescent="0.3">
      <c r="A402" t="str">
        <v>Soybean Oil</v>
      </c>
      <c r="B402" t="str">
        <v>Negative Growth</v>
      </c>
      <c r="C402">
        <f t="shared" si="14"/>
        <v>0</v>
      </c>
      <c r="D402">
        <f t="shared" si="15"/>
        <v>2</v>
      </c>
    </row>
    <row r="403" spans="1:4" x14ac:dyDescent="0.3">
      <c r="A403" t="str">
        <v>Soybean Oil</v>
      </c>
      <c r="B403" t="str">
        <v>Negative Growth</v>
      </c>
      <c r="C403">
        <f t="shared" si="14"/>
        <v>0</v>
      </c>
      <c r="D403">
        <f t="shared" si="15"/>
        <v>3</v>
      </c>
    </row>
    <row r="404" spans="1:4" x14ac:dyDescent="0.3">
      <c r="A404" t="str">
        <v>Soybean Oil</v>
      </c>
      <c r="B404" t="str">
        <v>Negative Growth</v>
      </c>
      <c r="C404">
        <f t="shared" si="14"/>
        <v>0</v>
      </c>
      <c r="D404">
        <f t="shared" si="15"/>
        <v>4</v>
      </c>
    </row>
    <row r="405" spans="1:4" x14ac:dyDescent="0.3">
      <c r="A405" t="str">
        <v>Soybean Oil</v>
      </c>
      <c r="B405" t="str">
        <v>Positive Growth</v>
      </c>
      <c r="C405">
        <f t="shared" si="14"/>
        <v>1</v>
      </c>
      <c r="D405">
        <f t="shared" si="15"/>
        <v>0</v>
      </c>
    </row>
    <row r="406" spans="1:4" x14ac:dyDescent="0.3">
      <c r="A406" t="str">
        <v>Soybean Oil</v>
      </c>
      <c r="B406" t="str">
        <v>Positive Growth</v>
      </c>
      <c r="C406">
        <f t="shared" si="14"/>
        <v>2</v>
      </c>
      <c r="D406">
        <f t="shared" si="15"/>
        <v>0</v>
      </c>
    </row>
    <row r="407" spans="1:4" x14ac:dyDescent="0.3">
      <c r="A407" t="str">
        <v>Soybean Oil</v>
      </c>
      <c r="B407" t="str">
        <v>Positive Growth</v>
      </c>
      <c r="C407">
        <f t="shared" si="14"/>
        <v>3</v>
      </c>
      <c r="D407">
        <f t="shared" si="15"/>
        <v>0</v>
      </c>
    </row>
    <row r="408" spans="1:4" x14ac:dyDescent="0.3">
      <c r="A408" t="str">
        <v>Soybean Oil</v>
      </c>
      <c r="B408" t="str">
        <v>Negative Growth</v>
      </c>
      <c r="C408">
        <f t="shared" si="14"/>
        <v>0</v>
      </c>
      <c r="D408">
        <f t="shared" si="15"/>
        <v>1</v>
      </c>
    </row>
    <row r="409" spans="1:4" x14ac:dyDescent="0.3">
      <c r="A409" t="str">
        <v>Soybean Oil</v>
      </c>
      <c r="B409" t="str">
        <v>Positive Growth</v>
      </c>
      <c r="C409">
        <f t="shared" si="14"/>
        <v>1</v>
      </c>
      <c r="D409">
        <f t="shared" si="15"/>
        <v>0</v>
      </c>
    </row>
    <row r="410" spans="1:4" x14ac:dyDescent="0.3">
      <c r="A410" t="str">
        <v>Soybean Oil</v>
      </c>
      <c r="B410" t="str">
        <v>Positive Growth</v>
      </c>
      <c r="C410">
        <f t="shared" si="14"/>
        <v>2</v>
      </c>
      <c r="D410">
        <f t="shared" si="15"/>
        <v>0</v>
      </c>
    </row>
    <row r="411" spans="1:4" x14ac:dyDescent="0.3">
      <c r="A411" t="str">
        <v>Soybean Oil</v>
      </c>
      <c r="B411" t="str">
        <v>Negative Growth</v>
      </c>
      <c r="C411">
        <f t="shared" si="14"/>
        <v>0</v>
      </c>
      <c r="D411">
        <f t="shared" si="15"/>
        <v>1</v>
      </c>
    </row>
    <row r="412" spans="1:4" x14ac:dyDescent="0.3">
      <c r="A412" t="str">
        <v>Soybean Oil</v>
      </c>
      <c r="B412" t="str">
        <v>Positive Growth</v>
      </c>
      <c r="C412">
        <f t="shared" si="14"/>
        <v>1</v>
      </c>
      <c r="D412">
        <f t="shared" si="15"/>
        <v>0</v>
      </c>
    </row>
    <row r="413" spans="1:4" x14ac:dyDescent="0.3">
      <c r="A413" t="str">
        <v>Soybean Oil</v>
      </c>
      <c r="B413" t="str">
        <v>Negative Growth</v>
      </c>
      <c r="C413">
        <f t="shared" si="14"/>
        <v>0</v>
      </c>
      <c r="D413">
        <f t="shared" si="15"/>
        <v>1</v>
      </c>
    </row>
    <row r="414" spans="1:4" x14ac:dyDescent="0.3">
      <c r="A414" t="str">
        <v>Soybean Oil</v>
      </c>
      <c r="B414" t="str">
        <v>Positive Growth</v>
      </c>
      <c r="C414">
        <f t="shared" si="14"/>
        <v>1</v>
      </c>
      <c r="D414">
        <f t="shared" si="15"/>
        <v>0</v>
      </c>
    </row>
    <row r="415" spans="1:4" x14ac:dyDescent="0.3">
      <c r="A415" t="str">
        <v>Soybean Oil</v>
      </c>
      <c r="B415" t="str">
        <v>Negative Growth</v>
      </c>
      <c r="C415">
        <f t="shared" si="14"/>
        <v>0</v>
      </c>
      <c r="D415">
        <f t="shared" si="15"/>
        <v>1</v>
      </c>
    </row>
    <row r="416" spans="1:4" x14ac:dyDescent="0.3">
      <c r="A416" t="str">
        <v>Soybean Oil</v>
      </c>
      <c r="B416" t="str">
        <v>Positive Growth</v>
      </c>
      <c r="C416">
        <f t="shared" si="14"/>
        <v>1</v>
      </c>
      <c r="D416">
        <f t="shared" si="15"/>
        <v>0</v>
      </c>
    </row>
    <row r="417" spans="1:4" x14ac:dyDescent="0.3">
      <c r="A417" t="str">
        <v>Soybean Oil</v>
      </c>
      <c r="B417" t="str">
        <v>Negative Growth</v>
      </c>
      <c r="C417">
        <f t="shared" si="14"/>
        <v>0</v>
      </c>
      <c r="D417">
        <f t="shared" si="15"/>
        <v>1</v>
      </c>
    </row>
    <row r="418" spans="1:4" x14ac:dyDescent="0.3">
      <c r="A418" t="str">
        <v>Soybean Oil</v>
      </c>
      <c r="B418" t="str">
        <v>Negative Growth</v>
      </c>
      <c r="C418">
        <f t="shared" si="14"/>
        <v>0</v>
      </c>
      <c r="D418">
        <f t="shared" si="15"/>
        <v>2</v>
      </c>
    </row>
    <row r="419" spans="1:4" x14ac:dyDescent="0.3">
      <c r="A419" t="str">
        <v>Soybean Oil</v>
      </c>
      <c r="B419" t="str">
        <v>Positive Growth</v>
      </c>
      <c r="C419">
        <f t="shared" si="14"/>
        <v>1</v>
      </c>
      <c r="D419">
        <f t="shared" si="15"/>
        <v>0</v>
      </c>
    </row>
    <row r="420" spans="1:4" x14ac:dyDescent="0.3">
      <c r="A420" t="str">
        <v>Soybean Oil</v>
      </c>
      <c r="B420" t="str">
        <v>Negative Growth</v>
      </c>
      <c r="C420">
        <f t="shared" si="14"/>
        <v>0</v>
      </c>
      <c r="D420">
        <f t="shared" si="15"/>
        <v>1</v>
      </c>
    </row>
    <row r="421" spans="1:4" x14ac:dyDescent="0.3">
      <c r="A421" t="str">
        <v>Soybean Oil</v>
      </c>
      <c r="B421" t="str">
        <v>Negative Growth</v>
      </c>
      <c r="C421">
        <f t="shared" si="14"/>
        <v>0</v>
      </c>
      <c r="D421">
        <f t="shared" si="15"/>
        <v>2</v>
      </c>
    </row>
    <row r="422" spans="1:4" x14ac:dyDescent="0.3">
      <c r="A422" t="str">
        <v>Soybean Oil</v>
      </c>
      <c r="B422" t="str">
        <v>Negative Growth</v>
      </c>
      <c r="C422">
        <f t="shared" si="14"/>
        <v>0</v>
      </c>
      <c r="D422">
        <f t="shared" si="15"/>
        <v>3</v>
      </c>
    </row>
    <row r="423" spans="1:4" x14ac:dyDescent="0.3">
      <c r="A423" t="str">
        <v>Soybean Oil</v>
      </c>
      <c r="B423" t="str">
        <v>Positive Growth</v>
      </c>
      <c r="C423">
        <f t="shared" si="14"/>
        <v>1</v>
      </c>
      <c r="D423">
        <f t="shared" si="15"/>
        <v>0</v>
      </c>
    </row>
    <row r="424" spans="1:4" x14ac:dyDescent="0.3">
      <c r="A424" t="str">
        <v>Soybean Oil</v>
      </c>
      <c r="B424" t="str">
        <v>Positive Growth</v>
      </c>
      <c r="C424">
        <f t="shared" si="14"/>
        <v>2</v>
      </c>
      <c r="D424">
        <f t="shared" si="15"/>
        <v>0</v>
      </c>
    </row>
    <row r="425" spans="1:4" x14ac:dyDescent="0.3">
      <c r="A425" t="str">
        <v>Soybean Oil</v>
      </c>
      <c r="B425" t="str">
        <v>Negative Growth</v>
      </c>
      <c r="C425">
        <f t="shared" si="14"/>
        <v>0</v>
      </c>
      <c r="D425">
        <f t="shared" si="15"/>
        <v>1</v>
      </c>
    </row>
    <row r="426" spans="1:4" x14ac:dyDescent="0.3">
      <c r="A426" t="str">
        <v>Soybean Oil</v>
      </c>
      <c r="B426" t="str">
        <v>Positive Growth</v>
      </c>
      <c r="C426">
        <f t="shared" si="14"/>
        <v>1</v>
      </c>
      <c r="D426">
        <f t="shared" si="15"/>
        <v>0</v>
      </c>
    </row>
    <row r="427" spans="1:4" x14ac:dyDescent="0.3">
      <c r="A427" t="str">
        <v>Soybean Oil</v>
      </c>
      <c r="B427" t="str">
        <v>Negative Growth</v>
      </c>
      <c r="C427">
        <f t="shared" si="14"/>
        <v>0</v>
      </c>
      <c r="D427">
        <f t="shared" si="15"/>
        <v>1</v>
      </c>
    </row>
    <row r="428" spans="1:4" x14ac:dyDescent="0.3">
      <c r="A428" t="str">
        <v>Soybean Oil</v>
      </c>
      <c r="B428" t="str">
        <v>Positive Growth</v>
      </c>
      <c r="C428">
        <f t="shared" si="14"/>
        <v>1</v>
      </c>
      <c r="D428">
        <f t="shared" si="15"/>
        <v>0</v>
      </c>
    </row>
    <row r="429" spans="1:4" x14ac:dyDescent="0.3">
      <c r="A429" t="str">
        <v>Soybean Oil</v>
      </c>
      <c r="B429" t="str">
        <v>Positive Growth</v>
      </c>
      <c r="C429">
        <f t="shared" si="14"/>
        <v>2</v>
      </c>
      <c r="D429">
        <f t="shared" si="15"/>
        <v>0</v>
      </c>
    </row>
    <row r="430" spans="1:4" x14ac:dyDescent="0.3">
      <c r="A430" t="str">
        <v>Soybean Oil</v>
      </c>
      <c r="B430" t="str">
        <v>Negative Growth</v>
      </c>
      <c r="C430">
        <f t="shared" si="14"/>
        <v>0</v>
      </c>
      <c r="D430">
        <f t="shared" si="15"/>
        <v>1</v>
      </c>
    </row>
    <row r="431" spans="1:4" x14ac:dyDescent="0.3">
      <c r="A431" t="str">
        <v>Soybean Oil</v>
      </c>
      <c r="B431" t="str">
        <v>Negative Growth</v>
      </c>
      <c r="C431">
        <f t="shared" si="14"/>
        <v>0</v>
      </c>
      <c r="D431">
        <f t="shared" si="15"/>
        <v>2</v>
      </c>
    </row>
    <row r="432" spans="1:4" x14ac:dyDescent="0.3">
      <c r="A432" t="str">
        <v>Soybean Oil</v>
      </c>
      <c r="B432" t="str">
        <v>Negative Growth</v>
      </c>
      <c r="C432">
        <f t="shared" si="14"/>
        <v>0</v>
      </c>
      <c r="D432">
        <f t="shared" si="15"/>
        <v>3</v>
      </c>
    </row>
    <row r="433" spans="1:4" x14ac:dyDescent="0.3">
      <c r="A433" t="str">
        <v>Soybean Oil</v>
      </c>
      <c r="B433" t="str">
        <v>Positive Growth</v>
      </c>
      <c r="C433">
        <f t="shared" si="14"/>
        <v>1</v>
      </c>
      <c r="D433">
        <f t="shared" si="15"/>
        <v>0</v>
      </c>
    </row>
    <row r="434" spans="1:4" x14ac:dyDescent="0.3">
      <c r="A434" t="str">
        <v>Soybean Oil</v>
      </c>
      <c r="B434" t="str">
        <v>Negative Growth</v>
      </c>
      <c r="C434">
        <f t="shared" si="14"/>
        <v>0</v>
      </c>
      <c r="D434">
        <f t="shared" si="15"/>
        <v>1</v>
      </c>
    </row>
    <row r="435" spans="1:4" x14ac:dyDescent="0.3">
      <c r="A435" t="str">
        <v>Soybean Oil</v>
      </c>
      <c r="B435" t="str">
        <v>Negative Growth</v>
      </c>
      <c r="C435">
        <f t="shared" si="14"/>
        <v>0</v>
      </c>
      <c r="D435">
        <f t="shared" si="15"/>
        <v>2</v>
      </c>
    </row>
    <row r="436" spans="1:4" x14ac:dyDescent="0.3">
      <c r="A436" t="str">
        <v>Soybean Oil</v>
      </c>
      <c r="B436" t="str">
        <v>Negative Growth</v>
      </c>
      <c r="C436">
        <f t="shared" si="14"/>
        <v>0</v>
      </c>
      <c r="D436">
        <f t="shared" si="15"/>
        <v>3</v>
      </c>
    </row>
    <row r="437" spans="1:4" x14ac:dyDescent="0.3">
      <c r="A437" t="str">
        <v>Soybean Oil</v>
      </c>
      <c r="B437" t="str">
        <v>Positive Growth</v>
      </c>
      <c r="C437">
        <f t="shared" si="14"/>
        <v>1</v>
      </c>
      <c r="D437">
        <f t="shared" si="15"/>
        <v>0</v>
      </c>
    </row>
    <row r="438" spans="1:4" x14ac:dyDescent="0.3">
      <c r="A438" t="str">
        <v>Soybean Oil</v>
      </c>
      <c r="B438" t="str">
        <v>Positive Growth</v>
      </c>
      <c r="C438">
        <f t="shared" si="14"/>
        <v>2</v>
      </c>
      <c r="D438">
        <f t="shared" si="15"/>
        <v>0</v>
      </c>
    </row>
    <row r="439" spans="1:4" x14ac:dyDescent="0.3">
      <c r="A439" t="str">
        <v>Soybean Oil</v>
      </c>
      <c r="B439" t="str">
        <v>Positive Growth</v>
      </c>
      <c r="C439">
        <f t="shared" si="14"/>
        <v>3</v>
      </c>
      <c r="D439">
        <f t="shared" si="15"/>
        <v>0</v>
      </c>
    </row>
    <row r="440" spans="1:4" x14ac:dyDescent="0.3">
      <c r="A440" t="str">
        <v>Soybean Oil</v>
      </c>
      <c r="B440" t="str">
        <v>Negative Growth</v>
      </c>
      <c r="C440">
        <f t="shared" si="14"/>
        <v>0</v>
      </c>
      <c r="D440">
        <f t="shared" si="15"/>
        <v>1</v>
      </c>
    </row>
    <row r="441" spans="1:4" x14ac:dyDescent="0.3">
      <c r="A441" t="str">
        <v>Soybean Oil</v>
      </c>
      <c r="B441" t="str">
        <v>Positive Growth</v>
      </c>
      <c r="C441">
        <f t="shared" si="14"/>
        <v>1</v>
      </c>
      <c r="D441">
        <f t="shared" si="15"/>
        <v>0</v>
      </c>
    </row>
    <row r="442" spans="1:4" x14ac:dyDescent="0.3">
      <c r="A442" t="str">
        <v>Soybean Oil</v>
      </c>
      <c r="B442" t="str">
        <v>Positive Growth</v>
      </c>
      <c r="C442">
        <f t="shared" si="14"/>
        <v>2</v>
      </c>
      <c r="D442">
        <f t="shared" si="15"/>
        <v>0</v>
      </c>
    </row>
    <row r="443" spans="1:4" x14ac:dyDescent="0.3">
      <c r="A443" t="str">
        <v>Soybean Oil</v>
      </c>
      <c r="B443" t="str">
        <v>Positive Growth</v>
      </c>
      <c r="C443">
        <f t="shared" si="14"/>
        <v>3</v>
      </c>
      <c r="D443">
        <f t="shared" si="15"/>
        <v>0</v>
      </c>
    </row>
    <row r="444" spans="1:4" x14ac:dyDescent="0.3">
      <c r="A444" t="str">
        <v>Soybean Oil</v>
      </c>
      <c r="B444" t="str">
        <v>Negative Growth</v>
      </c>
      <c r="C444">
        <f t="shared" si="14"/>
        <v>0</v>
      </c>
      <c r="D444">
        <f t="shared" si="15"/>
        <v>1</v>
      </c>
    </row>
    <row r="445" spans="1:4" x14ac:dyDescent="0.3">
      <c r="A445" t="str">
        <v>Soybean Oil</v>
      </c>
      <c r="B445" t="str">
        <v>Positive Growth</v>
      </c>
      <c r="C445">
        <f t="shared" si="14"/>
        <v>1</v>
      </c>
      <c r="D445">
        <f t="shared" si="15"/>
        <v>0</v>
      </c>
    </row>
    <row r="446" spans="1:4" x14ac:dyDescent="0.3">
      <c r="A446" t="str">
        <v>Soybean Oil</v>
      </c>
      <c r="B446" t="str">
        <v>Positive Growth</v>
      </c>
      <c r="C446">
        <f t="shared" si="14"/>
        <v>2</v>
      </c>
      <c r="D446">
        <f t="shared" si="15"/>
        <v>0</v>
      </c>
    </row>
    <row r="447" spans="1:4" x14ac:dyDescent="0.3">
      <c r="A447" t="str">
        <v>Soybean Oil</v>
      </c>
      <c r="B447" t="str">
        <v>Negative Growth</v>
      </c>
      <c r="C447">
        <f t="shared" si="14"/>
        <v>0</v>
      </c>
      <c r="D447">
        <f t="shared" si="15"/>
        <v>1</v>
      </c>
    </row>
    <row r="448" spans="1:4" x14ac:dyDescent="0.3">
      <c r="A448" t="str">
        <v>Soybean Oil</v>
      </c>
      <c r="B448" t="str">
        <v>Negative Growth</v>
      </c>
      <c r="C448">
        <f t="shared" si="14"/>
        <v>0</v>
      </c>
      <c r="D448">
        <f t="shared" si="15"/>
        <v>2</v>
      </c>
    </row>
    <row r="449" spans="1:4" x14ac:dyDescent="0.3">
      <c r="A449" t="str">
        <v>Soybean Oil</v>
      </c>
      <c r="B449" t="str">
        <v>Negative Growth</v>
      </c>
      <c r="C449">
        <f t="shared" si="14"/>
        <v>0</v>
      </c>
      <c r="D449">
        <f t="shared" si="15"/>
        <v>3</v>
      </c>
    </row>
    <row r="450" spans="1:4" x14ac:dyDescent="0.3">
      <c r="A450" t="str">
        <v>Soybean Oil</v>
      </c>
      <c r="B450" t="str">
        <v>Negative Growth</v>
      </c>
      <c r="C450">
        <f t="shared" si="14"/>
        <v>0</v>
      </c>
      <c r="D450">
        <f t="shared" si="15"/>
        <v>4</v>
      </c>
    </row>
    <row r="451" spans="1:4" x14ac:dyDescent="0.3">
      <c r="A451" t="str">
        <v>Soybean Oil</v>
      </c>
      <c r="B451" t="str">
        <v>Negative Growth</v>
      </c>
      <c r="C451">
        <f t="shared" si="14"/>
        <v>0</v>
      </c>
      <c r="D451">
        <f t="shared" si="15"/>
        <v>5</v>
      </c>
    </row>
    <row r="452" spans="1:4" x14ac:dyDescent="0.3">
      <c r="A452" t="str">
        <v>Soybean Oil</v>
      </c>
      <c r="B452" t="str">
        <v>Positive Growth</v>
      </c>
      <c r="C452">
        <f t="shared" ref="C452:C515" si="16">IF(A452&lt;&gt;A451,IF(B452="Positive Growth",1,0),IF(B452="Positive Growth",IF(B451="Positive Growth",C451+1,1),0))</f>
        <v>1</v>
      </c>
      <c r="D452">
        <f t="shared" ref="D452:D515" si="17">IF(A452&lt;&gt;A451,IF(B452="Negative Growth",1,0),IF(B452="Negative Growth",IF(B451="Negative Growth",D451+1,1),0))</f>
        <v>0</v>
      </c>
    </row>
    <row r="453" spans="1:4" x14ac:dyDescent="0.3">
      <c r="A453" t="str">
        <v>Soybean Oil</v>
      </c>
      <c r="B453" t="str">
        <v>Negative Growth</v>
      </c>
      <c r="C453">
        <f t="shared" si="16"/>
        <v>0</v>
      </c>
      <c r="D453">
        <f t="shared" si="17"/>
        <v>1</v>
      </c>
    </row>
    <row r="454" spans="1:4" x14ac:dyDescent="0.3">
      <c r="A454" t="str">
        <v>Soybean Oil</v>
      </c>
      <c r="B454" t="str">
        <v>Negative Growth</v>
      </c>
      <c r="C454">
        <f t="shared" si="16"/>
        <v>0</v>
      </c>
      <c r="D454">
        <f t="shared" si="17"/>
        <v>2</v>
      </c>
    </row>
    <row r="455" spans="1:4" x14ac:dyDescent="0.3">
      <c r="A455" t="str">
        <v>Soybean Oil</v>
      </c>
      <c r="B455" t="str">
        <v>Positive Growth</v>
      </c>
      <c r="C455">
        <f t="shared" si="16"/>
        <v>1</v>
      </c>
      <c r="D455">
        <f t="shared" si="17"/>
        <v>0</v>
      </c>
    </row>
    <row r="456" spans="1:4" x14ac:dyDescent="0.3">
      <c r="A456" t="str">
        <v>Soybean Oil</v>
      </c>
      <c r="B456" t="str">
        <v>Positive Growth</v>
      </c>
      <c r="C456">
        <f t="shared" si="16"/>
        <v>2</v>
      </c>
      <c r="D456">
        <f t="shared" si="17"/>
        <v>0</v>
      </c>
    </row>
    <row r="457" spans="1:4" x14ac:dyDescent="0.3">
      <c r="A457" t="str">
        <v>Soybean Oil</v>
      </c>
      <c r="B457" t="str">
        <v>Positive Growth</v>
      </c>
      <c r="C457">
        <f t="shared" si="16"/>
        <v>3</v>
      </c>
      <c r="D457">
        <f t="shared" si="17"/>
        <v>0</v>
      </c>
    </row>
    <row r="458" spans="1:4" x14ac:dyDescent="0.3">
      <c r="A458" t="str">
        <v>Soybean Oil</v>
      </c>
      <c r="B458" t="str">
        <v>Positive Growth</v>
      </c>
      <c r="C458">
        <f t="shared" si="16"/>
        <v>4</v>
      </c>
      <c r="D458">
        <f t="shared" si="17"/>
        <v>0</v>
      </c>
    </row>
    <row r="459" spans="1:4" x14ac:dyDescent="0.3">
      <c r="A459" t="str">
        <v>Soybean Oil</v>
      </c>
      <c r="B459" t="str">
        <v>Positive Growth</v>
      </c>
      <c r="C459">
        <f t="shared" si="16"/>
        <v>5</v>
      </c>
      <c r="D459">
        <f t="shared" si="17"/>
        <v>0</v>
      </c>
    </row>
    <row r="460" spans="1:4" x14ac:dyDescent="0.3">
      <c r="A460" t="str">
        <v>Soybean Oil</v>
      </c>
      <c r="B460" t="str">
        <v>Positive Growth</v>
      </c>
      <c r="C460">
        <f t="shared" si="16"/>
        <v>6</v>
      </c>
      <c r="D460">
        <f t="shared" si="17"/>
        <v>0</v>
      </c>
    </row>
    <row r="461" spans="1:4" x14ac:dyDescent="0.3">
      <c r="A461" t="str">
        <v>Sugar</v>
      </c>
      <c r="B461" t="str">
        <v>Positive Growth</v>
      </c>
      <c r="C461">
        <f t="shared" si="16"/>
        <v>1</v>
      </c>
      <c r="D461">
        <f t="shared" si="17"/>
        <v>0</v>
      </c>
    </row>
    <row r="462" spans="1:4" x14ac:dyDescent="0.3">
      <c r="A462" t="str">
        <v>Sugar</v>
      </c>
      <c r="B462" t="str">
        <v>Negative Growth</v>
      </c>
      <c r="C462">
        <f t="shared" si="16"/>
        <v>0</v>
      </c>
      <c r="D462">
        <f t="shared" si="17"/>
        <v>1</v>
      </c>
    </row>
    <row r="463" spans="1:4" x14ac:dyDescent="0.3">
      <c r="A463" t="str">
        <v>Sugar</v>
      </c>
      <c r="B463" t="str">
        <v>Negative Growth</v>
      </c>
      <c r="C463">
        <f t="shared" si="16"/>
        <v>0</v>
      </c>
      <c r="D463">
        <f t="shared" si="17"/>
        <v>2</v>
      </c>
    </row>
    <row r="464" spans="1:4" x14ac:dyDescent="0.3">
      <c r="A464" t="str">
        <v>Sugar</v>
      </c>
      <c r="B464" t="str">
        <v>Negative Growth</v>
      </c>
      <c r="C464">
        <f t="shared" si="16"/>
        <v>0</v>
      </c>
      <c r="D464">
        <f t="shared" si="17"/>
        <v>3</v>
      </c>
    </row>
    <row r="465" spans="1:4" x14ac:dyDescent="0.3">
      <c r="A465" t="str">
        <v>Sugar</v>
      </c>
      <c r="B465" t="str">
        <v>Positive Growth</v>
      </c>
      <c r="C465">
        <f t="shared" si="16"/>
        <v>1</v>
      </c>
      <c r="D465">
        <f t="shared" si="17"/>
        <v>0</v>
      </c>
    </row>
    <row r="466" spans="1:4" x14ac:dyDescent="0.3">
      <c r="A466" t="str">
        <v>Sugar</v>
      </c>
      <c r="B466" t="str">
        <v>Positive Growth</v>
      </c>
      <c r="C466">
        <f t="shared" si="16"/>
        <v>2</v>
      </c>
      <c r="D466">
        <f t="shared" si="17"/>
        <v>0</v>
      </c>
    </row>
    <row r="467" spans="1:4" x14ac:dyDescent="0.3">
      <c r="A467" t="str">
        <v>Sugar</v>
      </c>
      <c r="B467" t="str">
        <v>Negative Growth</v>
      </c>
      <c r="C467">
        <f t="shared" si="16"/>
        <v>0</v>
      </c>
      <c r="D467">
        <f t="shared" si="17"/>
        <v>1</v>
      </c>
    </row>
    <row r="468" spans="1:4" x14ac:dyDescent="0.3">
      <c r="A468" t="str">
        <v>Sugar</v>
      </c>
      <c r="B468" t="str">
        <v>Positive Growth</v>
      </c>
      <c r="C468">
        <f t="shared" si="16"/>
        <v>1</v>
      </c>
      <c r="D468">
        <f t="shared" si="17"/>
        <v>0</v>
      </c>
    </row>
    <row r="469" spans="1:4" x14ac:dyDescent="0.3">
      <c r="A469" t="str">
        <v>Sugar</v>
      </c>
      <c r="B469" t="str">
        <v>Positive Growth</v>
      </c>
      <c r="C469">
        <f t="shared" si="16"/>
        <v>2</v>
      </c>
      <c r="D469">
        <f t="shared" si="17"/>
        <v>0</v>
      </c>
    </row>
    <row r="470" spans="1:4" x14ac:dyDescent="0.3">
      <c r="A470" t="str">
        <v>Sugar</v>
      </c>
      <c r="B470" t="str">
        <v>Positive Growth</v>
      </c>
      <c r="C470">
        <f t="shared" si="16"/>
        <v>3</v>
      </c>
      <c r="D470">
        <f t="shared" si="17"/>
        <v>0</v>
      </c>
    </row>
    <row r="471" spans="1:4" x14ac:dyDescent="0.3">
      <c r="A471" t="str">
        <v>Sugar</v>
      </c>
      <c r="B471" t="str">
        <v>Positive Growth</v>
      </c>
      <c r="C471">
        <f t="shared" si="16"/>
        <v>4</v>
      </c>
      <c r="D471">
        <f t="shared" si="17"/>
        <v>0</v>
      </c>
    </row>
    <row r="472" spans="1:4" x14ac:dyDescent="0.3">
      <c r="A472" t="str">
        <v>Sugar</v>
      </c>
      <c r="B472" t="str">
        <v>Positive Growth</v>
      </c>
      <c r="C472">
        <f t="shared" si="16"/>
        <v>5</v>
      </c>
      <c r="D472">
        <f t="shared" si="17"/>
        <v>0</v>
      </c>
    </row>
    <row r="473" spans="1:4" x14ac:dyDescent="0.3">
      <c r="A473" t="str">
        <v>Sugar</v>
      </c>
      <c r="B473" t="str">
        <v>Negative Growth</v>
      </c>
      <c r="C473">
        <f t="shared" si="16"/>
        <v>0</v>
      </c>
      <c r="D473">
        <f t="shared" si="17"/>
        <v>1</v>
      </c>
    </row>
    <row r="474" spans="1:4" x14ac:dyDescent="0.3">
      <c r="A474" t="str">
        <v>Sugar</v>
      </c>
      <c r="B474" t="str">
        <v>Negative Growth</v>
      </c>
      <c r="C474">
        <f t="shared" si="16"/>
        <v>0</v>
      </c>
      <c r="D474">
        <f t="shared" si="17"/>
        <v>2</v>
      </c>
    </row>
    <row r="475" spans="1:4" x14ac:dyDescent="0.3">
      <c r="A475" t="str">
        <v>Sugar</v>
      </c>
      <c r="B475" t="str">
        <v>Positive Growth</v>
      </c>
      <c r="C475">
        <f t="shared" si="16"/>
        <v>1</v>
      </c>
      <c r="D475">
        <f t="shared" si="17"/>
        <v>0</v>
      </c>
    </row>
    <row r="476" spans="1:4" x14ac:dyDescent="0.3">
      <c r="A476" t="str">
        <v>Sugar</v>
      </c>
      <c r="B476" t="str">
        <v>Negative Growth</v>
      </c>
      <c r="C476">
        <f t="shared" si="16"/>
        <v>0</v>
      </c>
      <c r="D476">
        <f t="shared" si="17"/>
        <v>1</v>
      </c>
    </row>
    <row r="477" spans="1:4" x14ac:dyDescent="0.3">
      <c r="A477" t="str">
        <v>Sugar</v>
      </c>
      <c r="B477" t="str">
        <v>Positive Growth</v>
      </c>
      <c r="C477">
        <f t="shared" si="16"/>
        <v>1</v>
      </c>
      <c r="D477">
        <f t="shared" si="17"/>
        <v>0</v>
      </c>
    </row>
    <row r="478" spans="1:4" x14ac:dyDescent="0.3">
      <c r="A478" t="str">
        <v>Sugar</v>
      </c>
      <c r="B478" t="str">
        <v>Positive Growth</v>
      </c>
      <c r="C478">
        <f t="shared" si="16"/>
        <v>2</v>
      </c>
      <c r="D478">
        <f t="shared" si="17"/>
        <v>0</v>
      </c>
    </row>
    <row r="479" spans="1:4" x14ac:dyDescent="0.3">
      <c r="A479" t="str">
        <v>Sugar</v>
      </c>
      <c r="B479" t="str">
        <v>Negative Growth</v>
      </c>
      <c r="C479">
        <f t="shared" si="16"/>
        <v>0</v>
      </c>
      <c r="D479">
        <f t="shared" si="17"/>
        <v>1</v>
      </c>
    </row>
    <row r="480" spans="1:4" x14ac:dyDescent="0.3">
      <c r="A480" t="str">
        <v>Sugar</v>
      </c>
      <c r="B480" t="str">
        <v>Negative Growth</v>
      </c>
      <c r="C480">
        <f t="shared" si="16"/>
        <v>0</v>
      </c>
      <c r="D480">
        <f t="shared" si="17"/>
        <v>2</v>
      </c>
    </row>
    <row r="481" spans="1:4" x14ac:dyDescent="0.3">
      <c r="A481" t="str">
        <v>Sugar</v>
      </c>
      <c r="B481" t="str">
        <v>Positive Growth</v>
      </c>
      <c r="C481">
        <f t="shared" si="16"/>
        <v>1</v>
      </c>
      <c r="D481">
        <f t="shared" si="17"/>
        <v>0</v>
      </c>
    </row>
    <row r="482" spans="1:4" x14ac:dyDescent="0.3">
      <c r="A482" t="str">
        <v>Sugar</v>
      </c>
      <c r="B482" t="str">
        <v>Negative Growth</v>
      </c>
      <c r="C482">
        <f t="shared" si="16"/>
        <v>0</v>
      </c>
      <c r="D482">
        <f t="shared" si="17"/>
        <v>1</v>
      </c>
    </row>
    <row r="483" spans="1:4" x14ac:dyDescent="0.3">
      <c r="A483" t="str">
        <v>Sugar</v>
      </c>
      <c r="B483" t="str">
        <v>Positive Growth</v>
      </c>
      <c r="C483">
        <f t="shared" si="16"/>
        <v>1</v>
      </c>
      <c r="D483">
        <f t="shared" si="17"/>
        <v>0</v>
      </c>
    </row>
    <row r="484" spans="1:4" x14ac:dyDescent="0.3">
      <c r="A484" t="str">
        <v>Sugar</v>
      </c>
      <c r="B484" t="str">
        <v>Positive Growth</v>
      </c>
      <c r="C484">
        <f t="shared" si="16"/>
        <v>2</v>
      </c>
      <c r="D484">
        <f t="shared" si="17"/>
        <v>0</v>
      </c>
    </row>
    <row r="485" spans="1:4" x14ac:dyDescent="0.3">
      <c r="A485" t="str">
        <v>Sugar</v>
      </c>
      <c r="B485" t="str">
        <v>Positive Growth</v>
      </c>
      <c r="C485">
        <f t="shared" si="16"/>
        <v>3</v>
      </c>
      <c r="D485">
        <f t="shared" si="17"/>
        <v>0</v>
      </c>
    </row>
    <row r="486" spans="1:4" x14ac:dyDescent="0.3">
      <c r="A486" t="str">
        <v>Sugar</v>
      </c>
      <c r="B486" t="str">
        <v>Positive Growth</v>
      </c>
      <c r="C486">
        <f t="shared" si="16"/>
        <v>4</v>
      </c>
      <c r="D486">
        <f t="shared" si="17"/>
        <v>0</v>
      </c>
    </row>
    <row r="487" spans="1:4" x14ac:dyDescent="0.3">
      <c r="A487" t="str">
        <v>Sugar</v>
      </c>
      <c r="B487" t="str">
        <v>Positive Growth</v>
      </c>
      <c r="C487">
        <f t="shared" si="16"/>
        <v>5</v>
      </c>
      <c r="D487">
        <f t="shared" si="17"/>
        <v>0</v>
      </c>
    </row>
    <row r="488" spans="1:4" x14ac:dyDescent="0.3">
      <c r="A488" t="str">
        <v>Sugar</v>
      </c>
      <c r="B488" t="str">
        <v>Negative Growth</v>
      </c>
      <c r="C488">
        <f t="shared" si="16"/>
        <v>0</v>
      </c>
      <c r="D488">
        <f t="shared" si="17"/>
        <v>1</v>
      </c>
    </row>
    <row r="489" spans="1:4" x14ac:dyDescent="0.3">
      <c r="A489" t="str">
        <v>Sugar</v>
      </c>
      <c r="B489" t="str">
        <v>Negative Growth</v>
      </c>
      <c r="C489">
        <f t="shared" si="16"/>
        <v>0</v>
      </c>
      <c r="D489">
        <f t="shared" si="17"/>
        <v>2</v>
      </c>
    </row>
    <row r="490" spans="1:4" x14ac:dyDescent="0.3">
      <c r="A490" t="str">
        <v>Sugar</v>
      </c>
      <c r="B490" t="str">
        <v>Negative Growth</v>
      </c>
      <c r="C490">
        <f t="shared" si="16"/>
        <v>0</v>
      </c>
      <c r="D490">
        <f t="shared" si="17"/>
        <v>3</v>
      </c>
    </row>
    <row r="491" spans="1:4" x14ac:dyDescent="0.3">
      <c r="A491" t="str">
        <v>Sugar</v>
      </c>
      <c r="B491" t="str">
        <v>Positive Growth</v>
      </c>
      <c r="C491">
        <f t="shared" si="16"/>
        <v>1</v>
      </c>
      <c r="D491">
        <f t="shared" si="17"/>
        <v>0</v>
      </c>
    </row>
    <row r="492" spans="1:4" x14ac:dyDescent="0.3">
      <c r="A492" t="str">
        <v>Sugar</v>
      </c>
      <c r="B492" t="str">
        <v>Positive Growth</v>
      </c>
      <c r="C492">
        <f t="shared" si="16"/>
        <v>2</v>
      </c>
      <c r="D492">
        <f t="shared" si="17"/>
        <v>0</v>
      </c>
    </row>
    <row r="493" spans="1:4" x14ac:dyDescent="0.3">
      <c r="A493" t="str">
        <v>Sugar</v>
      </c>
      <c r="B493" t="str">
        <v>Negative Growth</v>
      </c>
      <c r="C493">
        <f t="shared" si="16"/>
        <v>0</v>
      </c>
      <c r="D493">
        <f t="shared" si="17"/>
        <v>1</v>
      </c>
    </row>
    <row r="494" spans="1:4" x14ac:dyDescent="0.3">
      <c r="A494" t="str">
        <v>Sugar</v>
      </c>
      <c r="B494" t="str">
        <v>Negative Growth</v>
      </c>
      <c r="C494">
        <f t="shared" si="16"/>
        <v>0</v>
      </c>
      <c r="D494">
        <f t="shared" si="17"/>
        <v>2</v>
      </c>
    </row>
    <row r="495" spans="1:4" x14ac:dyDescent="0.3">
      <c r="A495" t="str">
        <v>Sugar</v>
      </c>
      <c r="B495" t="str">
        <v>Positive Growth</v>
      </c>
      <c r="C495">
        <f t="shared" si="16"/>
        <v>1</v>
      </c>
      <c r="D495">
        <f t="shared" si="17"/>
        <v>0</v>
      </c>
    </row>
    <row r="496" spans="1:4" x14ac:dyDescent="0.3">
      <c r="A496" t="str">
        <v>Sugar</v>
      </c>
      <c r="B496" t="str">
        <v>Negative Growth</v>
      </c>
      <c r="C496">
        <f t="shared" si="16"/>
        <v>0</v>
      </c>
      <c r="D496">
        <f t="shared" si="17"/>
        <v>1</v>
      </c>
    </row>
    <row r="497" spans="1:4" x14ac:dyDescent="0.3">
      <c r="A497" t="str">
        <v>Sugar</v>
      </c>
      <c r="B497" t="str">
        <v>Negative Growth</v>
      </c>
      <c r="C497">
        <f t="shared" si="16"/>
        <v>0</v>
      </c>
      <c r="D497">
        <f t="shared" si="17"/>
        <v>2</v>
      </c>
    </row>
    <row r="498" spans="1:4" x14ac:dyDescent="0.3">
      <c r="A498" t="str">
        <v>Sugar</v>
      </c>
      <c r="B498" t="str">
        <v>Positive Growth</v>
      </c>
      <c r="C498">
        <f t="shared" si="16"/>
        <v>1</v>
      </c>
      <c r="D498">
        <f t="shared" si="17"/>
        <v>0</v>
      </c>
    </row>
    <row r="499" spans="1:4" x14ac:dyDescent="0.3">
      <c r="A499" t="str">
        <v>Sugar</v>
      </c>
      <c r="B499" t="str">
        <v>Negative Growth</v>
      </c>
      <c r="C499">
        <f t="shared" si="16"/>
        <v>0</v>
      </c>
      <c r="D499">
        <f t="shared" si="17"/>
        <v>1</v>
      </c>
    </row>
    <row r="500" spans="1:4" x14ac:dyDescent="0.3">
      <c r="A500" t="str">
        <v>Sugar</v>
      </c>
      <c r="B500" t="str">
        <v>Positive Growth</v>
      </c>
      <c r="C500">
        <f t="shared" si="16"/>
        <v>1</v>
      </c>
      <c r="D500">
        <f t="shared" si="17"/>
        <v>0</v>
      </c>
    </row>
    <row r="501" spans="1:4" x14ac:dyDescent="0.3">
      <c r="A501" t="str">
        <v>Sugar</v>
      </c>
      <c r="B501" t="str">
        <v>Negative Growth</v>
      </c>
      <c r="C501">
        <f t="shared" si="16"/>
        <v>0</v>
      </c>
      <c r="D501">
        <f t="shared" si="17"/>
        <v>1</v>
      </c>
    </row>
    <row r="502" spans="1:4" x14ac:dyDescent="0.3">
      <c r="A502" t="str">
        <v>Sugar</v>
      </c>
      <c r="B502" t="str">
        <v>Positive Growth</v>
      </c>
      <c r="C502">
        <f t="shared" si="16"/>
        <v>1</v>
      </c>
      <c r="D502">
        <f t="shared" si="17"/>
        <v>0</v>
      </c>
    </row>
    <row r="503" spans="1:4" x14ac:dyDescent="0.3">
      <c r="A503" t="str">
        <v>Sugar</v>
      </c>
      <c r="B503" t="str">
        <v>Positive Growth</v>
      </c>
      <c r="C503">
        <f t="shared" si="16"/>
        <v>2</v>
      </c>
      <c r="D503">
        <f t="shared" si="17"/>
        <v>0</v>
      </c>
    </row>
    <row r="504" spans="1:4" x14ac:dyDescent="0.3">
      <c r="A504" t="str">
        <v>Sugar</v>
      </c>
      <c r="B504" t="str">
        <v>Negative Growth</v>
      </c>
      <c r="C504">
        <f t="shared" si="16"/>
        <v>0</v>
      </c>
      <c r="D504">
        <f t="shared" si="17"/>
        <v>1</v>
      </c>
    </row>
    <row r="505" spans="1:4" x14ac:dyDescent="0.3">
      <c r="A505" t="str">
        <v>Sugar</v>
      </c>
      <c r="B505" t="str">
        <v>Negative Growth</v>
      </c>
      <c r="C505">
        <f t="shared" si="16"/>
        <v>0</v>
      </c>
      <c r="D505">
        <f t="shared" si="17"/>
        <v>2</v>
      </c>
    </row>
    <row r="506" spans="1:4" x14ac:dyDescent="0.3">
      <c r="A506" t="str">
        <v>Sugar</v>
      </c>
      <c r="B506" t="str">
        <v>Positive Growth</v>
      </c>
      <c r="C506">
        <f t="shared" si="16"/>
        <v>1</v>
      </c>
      <c r="D506">
        <f t="shared" si="17"/>
        <v>0</v>
      </c>
    </row>
    <row r="507" spans="1:4" x14ac:dyDescent="0.3">
      <c r="A507" t="str">
        <v>Sugar</v>
      </c>
      <c r="B507" t="str">
        <v>Positive Growth</v>
      </c>
      <c r="C507">
        <f t="shared" si="16"/>
        <v>2</v>
      </c>
      <c r="D507">
        <f t="shared" si="17"/>
        <v>0</v>
      </c>
    </row>
    <row r="508" spans="1:4" x14ac:dyDescent="0.3">
      <c r="A508" t="str">
        <v>Sugar</v>
      </c>
      <c r="B508" t="str">
        <v>Positive Growth</v>
      </c>
      <c r="C508">
        <f t="shared" si="16"/>
        <v>3</v>
      </c>
      <c r="D508">
        <f t="shared" si="17"/>
        <v>0</v>
      </c>
    </row>
    <row r="509" spans="1:4" x14ac:dyDescent="0.3">
      <c r="A509" t="str">
        <v>Sugar</v>
      </c>
      <c r="B509" t="str">
        <v>Negative Growth</v>
      </c>
      <c r="C509">
        <f t="shared" si="16"/>
        <v>0</v>
      </c>
      <c r="D509">
        <f t="shared" si="17"/>
        <v>1</v>
      </c>
    </row>
    <row r="510" spans="1:4" x14ac:dyDescent="0.3">
      <c r="A510" t="str">
        <v>Sugar</v>
      </c>
      <c r="B510" t="str">
        <v>Negative Growth</v>
      </c>
      <c r="C510">
        <f t="shared" si="16"/>
        <v>0</v>
      </c>
      <c r="D510">
        <f t="shared" si="17"/>
        <v>2</v>
      </c>
    </row>
    <row r="511" spans="1:4" x14ac:dyDescent="0.3">
      <c r="A511" t="str">
        <v>Sugar</v>
      </c>
      <c r="B511" t="str">
        <v>Negative Growth</v>
      </c>
      <c r="C511">
        <f t="shared" si="16"/>
        <v>0</v>
      </c>
      <c r="D511">
        <f t="shared" si="17"/>
        <v>3</v>
      </c>
    </row>
    <row r="512" spans="1:4" x14ac:dyDescent="0.3">
      <c r="A512" t="str">
        <v>Sugar</v>
      </c>
      <c r="B512" t="str">
        <v>Negative Growth</v>
      </c>
      <c r="C512">
        <f t="shared" si="16"/>
        <v>0</v>
      </c>
      <c r="D512">
        <f t="shared" si="17"/>
        <v>4</v>
      </c>
    </row>
    <row r="513" spans="1:4" x14ac:dyDescent="0.3">
      <c r="A513" t="str">
        <v>Sugar</v>
      </c>
      <c r="B513" t="str">
        <v>Positive Growth</v>
      </c>
      <c r="C513">
        <f t="shared" si="16"/>
        <v>1</v>
      </c>
      <c r="D513">
        <f t="shared" si="17"/>
        <v>0</v>
      </c>
    </row>
    <row r="514" spans="1:4" x14ac:dyDescent="0.3">
      <c r="A514" t="str">
        <v>Sugar</v>
      </c>
      <c r="B514" t="str">
        <v>Positive Growth</v>
      </c>
      <c r="C514">
        <f t="shared" si="16"/>
        <v>2</v>
      </c>
      <c r="D514">
        <f t="shared" si="17"/>
        <v>0</v>
      </c>
    </row>
    <row r="515" spans="1:4" x14ac:dyDescent="0.3">
      <c r="A515" t="str">
        <v>Sugar</v>
      </c>
      <c r="B515" t="str">
        <v>Negative Growth</v>
      </c>
      <c r="C515">
        <f t="shared" si="16"/>
        <v>0</v>
      </c>
      <c r="D515">
        <f t="shared" si="17"/>
        <v>1</v>
      </c>
    </row>
    <row r="516" spans="1:4" x14ac:dyDescent="0.3">
      <c r="A516" t="str">
        <v>Sugar</v>
      </c>
      <c r="B516" t="str">
        <v>Negative Growth</v>
      </c>
      <c r="C516">
        <f t="shared" ref="C516:C579" si="18">IF(A516&lt;&gt;A515,IF(B516="Positive Growth",1,0),IF(B516="Positive Growth",IF(B515="Positive Growth",C515+1,1),0))</f>
        <v>0</v>
      </c>
      <c r="D516">
        <f t="shared" ref="D516:D579" si="19">IF(A516&lt;&gt;A515,IF(B516="Negative Growth",1,0),IF(B516="Negative Growth",IF(B515="Negative Growth",D515+1,1),0))</f>
        <v>2</v>
      </c>
    </row>
    <row r="517" spans="1:4" x14ac:dyDescent="0.3">
      <c r="A517" t="str">
        <v>Sugar</v>
      </c>
      <c r="B517" t="str">
        <v>Positive Growth</v>
      </c>
      <c r="C517">
        <f t="shared" si="18"/>
        <v>1</v>
      </c>
      <c r="D517">
        <f t="shared" si="19"/>
        <v>0</v>
      </c>
    </row>
    <row r="518" spans="1:4" x14ac:dyDescent="0.3">
      <c r="A518" t="str">
        <v>Sugar</v>
      </c>
      <c r="B518" t="str">
        <v>Positive Growth</v>
      </c>
      <c r="C518">
        <f t="shared" si="18"/>
        <v>2</v>
      </c>
      <c r="D518">
        <f t="shared" si="19"/>
        <v>0</v>
      </c>
    </row>
    <row r="519" spans="1:4" x14ac:dyDescent="0.3">
      <c r="A519" t="str">
        <v>Sugar</v>
      </c>
      <c r="B519" t="str">
        <v>Positive Growth</v>
      </c>
      <c r="C519">
        <f t="shared" si="18"/>
        <v>3</v>
      </c>
      <c r="D519">
        <f t="shared" si="19"/>
        <v>0</v>
      </c>
    </row>
    <row r="520" spans="1:4" x14ac:dyDescent="0.3">
      <c r="A520" t="str">
        <v>Sugar</v>
      </c>
      <c r="B520" t="str">
        <v>Positive Growth</v>
      </c>
      <c r="C520">
        <f t="shared" si="18"/>
        <v>4</v>
      </c>
      <c r="D520">
        <f t="shared" si="19"/>
        <v>0</v>
      </c>
    </row>
    <row r="521" spans="1:4" x14ac:dyDescent="0.3">
      <c r="A521" t="str">
        <v>Sugar</v>
      </c>
      <c r="B521" t="str">
        <v>Positive Growth</v>
      </c>
      <c r="C521">
        <f t="shared" si="18"/>
        <v>5</v>
      </c>
      <c r="D521">
        <f t="shared" si="19"/>
        <v>0</v>
      </c>
    </row>
    <row r="522" spans="1:4" x14ac:dyDescent="0.3">
      <c r="A522" t="str">
        <v>Sugar</v>
      </c>
      <c r="B522" t="str">
        <v>Negative Growth</v>
      </c>
      <c r="C522">
        <f t="shared" si="18"/>
        <v>0</v>
      </c>
      <c r="D522">
        <f t="shared" si="19"/>
        <v>1</v>
      </c>
    </row>
    <row r="523" spans="1:4" x14ac:dyDescent="0.3">
      <c r="A523" t="str">
        <v>Wheat</v>
      </c>
      <c r="B523" t="str">
        <v>Positive Growth</v>
      </c>
      <c r="C523">
        <f t="shared" si="18"/>
        <v>1</v>
      </c>
      <c r="D523">
        <f t="shared" si="19"/>
        <v>0</v>
      </c>
    </row>
    <row r="524" spans="1:4" x14ac:dyDescent="0.3">
      <c r="A524" t="str">
        <v>Wheat</v>
      </c>
      <c r="B524" t="str">
        <v>Negative Growth</v>
      </c>
      <c r="C524">
        <f t="shared" si="18"/>
        <v>0</v>
      </c>
      <c r="D524">
        <f t="shared" si="19"/>
        <v>1</v>
      </c>
    </row>
    <row r="525" spans="1:4" x14ac:dyDescent="0.3">
      <c r="A525" t="str">
        <v>Wheat</v>
      </c>
      <c r="B525" t="str">
        <v>Positive Growth</v>
      </c>
      <c r="C525">
        <f t="shared" si="18"/>
        <v>1</v>
      </c>
      <c r="D525">
        <f t="shared" si="19"/>
        <v>0</v>
      </c>
    </row>
    <row r="526" spans="1:4" x14ac:dyDescent="0.3">
      <c r="A526" t="str">
        <v>Wheat</v>
      </c>
      <c r="B526" t="str">
        <v>Positive Growth</v>
      </c>
      <c r="C526">
        <f t="shared" si="18"/>
        <v>2</v>
      </c>
      <c r="D526">
        <f t="shared" si="19"/>
        <v>0</v>
      </c>
    </row>
    <row r="527" spans="1:4" x14ac:dyDescent="0.3">
      <c r="A527" t="str">
        <v>Wheat</v>
      </c>
      <c r="B527" t="str">
        <v>Negative Growth</v>
      </c>
      <c r="C527">
        <f t="shared" si="18"/>
        <v>0</v>
      </c>
      <c r="D527">
        <f t="shared" si="19"/>
        <v>1</v>
      </c>
    </row>
    <row r="528" spans="1:4" x14ac:dyDescent="0.3">
      <c r="A528" t="str">
        <v>Wheat</v>
      </c>
      <c r="B528" t="str">
        <v>Positive Growth</v>
      </c>
      <c r="C528">
        <f t="shared" si="18"/>
        <v>1</v>
      </c>
      <c r="D528">
        <f t="shared" si="19"/>
        <v>0</v>
      </c>
    </row>
    <row r="529" spans="1:4" x14ac:dyDescent="0.3">
      <c r="A529" t="str">
        <v>Wheat</v>
      </c>
      <c r="B529" t="str">
        <v>Positive Growth</v>
      </c>
      <c r="C529">
        <f t="shared" si="18"/>
        <v>2</v>
      </c>
      <c r="D529">
        <f t="shared" si="19"/>
        <v>0</v>
      </c>
    </row>
    <row r="530" spans="1:4" x14ac:dyDescent="0.3">
      <c r="A530" t="str">
        <v>Wheat</v>
      </c>
      <c r="B530" t="str">
        <v>Negative Growth</v>
      </c>
      <c r="C530">
        <f t="shared" si="18"/>
        <v>0</v>
      </c>
      <c r="D530">
        <f t="shared" si="19"/>
        <v>1</v>
      </c>
    </row>
    <row r="531" spans="1:4" x14ac:dyDescent="0.3">
      <c r="A531" t="str">
        <v>Wheat</v>
      </c>
      <c r="B531" t="str">
        <v>Negative Growth</v>
      </c>
      <c r="C531">
        <f t="shared" si="18"/>
        <v>0</v>
      </c>
      <c r="D531">
        <f t="shared" si="19"/>
        <v>2</v>
      </c>
    </row>
    <row r="532" spans="1:4" x14ac:dyDescent="0.3">
      <c r="A532" t="str">
        <v>Wheat</v>
      </c>
      <c r="B532" t="str">
        <v>Positive Growth</v>
      </c>
      <c r="C532">
        <f t="shared" si="18"/>
        <v>1</v>
      </c>
      <c r="D532">
        <f t="shared" si="19"/>
        <v>0</v>
      </c>
    </row>
    <row r="533" spans="1:4" x14ac:dyDescent="0.3">
      <c r="A533" t="str">
        <v>Wheat</v>
      </c>
      <c r="B533" t="str">
        <v>Positive Growth</v>
      </c>
      <c r="C533">
        <f t="shared" si="18"/>
        <v>2</v>
      </c>
      <c r="D533">
        <f t="shared" si="19"/>
        <v>0</v>
      </c>
    </row>
    <row r="534" spans="1:4" x14ac:dyDescent="0.3">
      <c r="A534" t="str">
        <v>Wheat</v>
      </c>
      <c r="B534" t="str">
        <v>Negative Growth</v>
      </c>
      <c r="C534">
        <f t="shared" si="18"/>
        <v>0</v>
      </c>
      <c r="D534">
        <f t="shared" si="19"/>
        <v>1</v>
      </c>
    </row>
    <row r="535" spans="1:4" x14ac:dyDescent="0.3">
      <c r="A535" t="str">
        <v>Wheat</v>
      </c>
      <c r="B535" t="str">
        <v>Positive Growth</v>
      </c>
      <c r="C535">
        <f t="shared" si="18"/>
        <v>1</v>
      </c>
      <c r="D535">
        <f t="shared" si="19"/>
        <v>0</v>
      </c>
    </row>
    <row r="536" spans="1:4" x14ac:dyDescent="0.3">
      <c r="A536" t="str">
        <v>Wheat</v>
      </c>
      <c r="B536" t="str">
        <v>Positive Growth</v>
      </c>
      <c r="C536">
        <f t="shared" si="18"/>
        <v>2</v>
      </c>
      <c r="D536">
        <f t="shared" si="19"/>
        <v>0</v>
      </c>
    </row>
    <row r="537" spans="1:4" x14ac:dyDescent="0.3">
      <c r="A537" t="str">
        <v>Wheat</v>
      </c>
      <c r="B537" t="str">
        <v>Negative Growth</v>
      </c>
      <c r="C537">
        <f t="shared" si="18"/>
        <v>0</v>
      </c>
      <c r="D537">
        <f t="shared" si="19"/>
        <v>1</v>
      </c>
    </row>
    <row r="538" spans="1:4" x14ac:dyDescent="0.3">
      <c r="A538" t="str">
        <v>Wheat</v>
      </c>
      <c r="B538" t="str">
        <v>Negative Growth</v>
      </c>
      <c r="C538">
        <f t="shared" si="18"/>
        <v>0</v>
      </c>
      <c r="D538">
        <f t="shared" si="19"/>
        <v>2</v>
      </c>
    </row>
    <row r="539" spans="1:4" x14ac:dyDescent="0.3">
      <c r="A539" t="str">
        <v>Wheat</v>
      </c>
      <c r="B539" t="str">
        <v>Negative Growth</v>
      </c>
      <c r="C539">
        <f t="shared" si="18"/>
        <v>0</v>
      </c>
      <c r="D539">
        <f t="shared" si="19"/>
        <v>3</v>
      </c>
    </row>
    <row r="540" spans="1:4" x14ac:dyDescent="0.3">
      <c r="A540" t="str">
        <v>Wheat</v>
      </c>
      <c r="B540" t="str">
        <v>Positive Growth</v>
      </c>
      <c r="C540">
        <f t="shared" si="18"/>
        <v>1</v>
      </c>
      <c r="D540">
        <f t="shared" si="19"/>
        <v>0</v>
      </c>
    </row>
    <row r="541" spans="1:4" x14ac:dyDescent="0.3">
      <c r="A541" t="str">
        <v>Wheat</v>
      </c>
      <c r="B541" t="str">
        <v>Positive Growth</v>
      </c>
      <c r="C541">
        <f t="shared" si="18"/>
        <v>2</v>
      </c>
      <c r="D541">
        <f t="shared" si="19"/>
        <v>0</v>
      </c>
    </row>
    <row r="542" spans="1:4" x14ac:dyDescent="0.3">
      <c r="A542" t="str">
        <v>Wheat</v>
      </c>
      <c r="B542" t="str">
        <v>Positive Growth</v>
      </c>
      <c r="C542">
        <f t="shared" si="18"/>
        <v>3</v>
      </c>
      <c r="D542">
        <f t="shared" si="19"/>
        <v>0</v>
      </c>
    </row>
    <row r="543" spans="1:4" x14ac:dyDescent="0.3">
      <c r="A543" t="str">
        <v>Wheat</v>
      </c>
      <c r="B543" t="str">
        <v>Positive Growth</v>
      </c>
      <c r="C543">
        <f t="shared" si="18"/>
        <v>4</v>
      </c>
      <c r="D543">
        <f t="shared" si="19"/>
        <v>0</v>
      </c>
    </row>
    <row r="544" spans="1:4" x14ac:dyDescent="0.3">
      <c r="A544" t="str">
        <v>Wheat</v>
      </c>
      <c r="B544" t="str">
        <v>Negative Growth</v>
      </c>
      <c r="C544">
        <f t="shared" si="18"/>
        <v>0</v>
      </c>
      <c r="D544">
        <f t="shared" si="19"/>
        <v>1</v>
      </c>
    </row>
    <row r="545" spans="1:4" x14ac:dyDescent="0.3">
      <c r="A545" t="str">
        <v>Wheat</v>
      </c>
      <c r="B545" t="str">
        <v>Negative Growth</v>
      </c>
      <c r="C545">
        <f t="shared" si="18"/>
        <v>0</v>
      </c>
      <c r="D545">
        <f t="shared" si="19"/>
        <v>2</v>
      </c>
    </row>
    <row r="546" spans="1:4" x14ac:dyDescent="0.3">
      <c r="A546" t="str">
        <v>Wheat</v>
      </c>
      <c r="B546" t="str">
        <v>Positive Growth</v>
      </c>
      <c r="C546">
        <f t="shared" si="18"/>
        <v>1</v>
      </c>
      <c r="D546">
        <f t="shared" si="19"/>
        <v>0</v>
      </c>
    </row>
    <row r="547" spans="1:4" x14ac:dyDescent="0.3">
      <c r="A547" t="str">
        <v>Wheat</v>
      </c>
      <c r="B547" t="str">
        <v>Negative Growth</v>
      </c>
      <c r="C547">
        <f t="shared" si="18"/>
        <v>0</v>
      </c>
      <c r="D547">
        <f t="shared" si="19"/>
        <v>1</v>
      </c>
    </row>
    <row r="548" spans="1:4" x14ac:dyDescent="0.3">
      <c r="A548" t="str">
        <v>Wheat</v>
      </c>
      <c r="B548" t="str">
        <v>Negative Growth</v>
      </c>
      <c r="C548">
        <f t="shared" si="18"/>
        <v>0</v>
      </c>
      <c r="D548">
        <f t="shared" si="19"/>
        <v>2</v>
      </c>
    </row>
    <row r="549" spans="1:4" x14ac:dyDescent="0.3">
      <c r="A549" t="str">
        <v>Wheat</v>
      </c>
      <c r="B549" t="str">
        <v>Negative Growth</v>
      </c>
      <c r="C549">
        <f t="shared" si="18"/>
        <v>0</v>
      </c>
      <c r="D549">
        <f t="shared" si="19"/>
        <v>3</v>
      </c>
    </row>
    <row r="550" spans="1:4" x14ac:dyDescent="0.3">
      <c r="A550" t="str">
        <v>Wheat</v>
      </c>
      <c r="B550" t="str">
        <v>Positive Growth</v>
      </c>
      <c r="C550">
        <f t="shared" si="18"/>
        <v>1</v>
      </c>
      <c r="D550">
        <f t="shared" si="19"/>
        <v>0</v>
      </c>
    </row>
    <row r="551" spans="1:4" x14ac:dyDescent="0.3">
      <c r="A551" t="str">
        <v>Wheat</v>
      </c>
      <c r="B551" t="str">
        <v>Positive Growth</v>
      </c>
      <c r="C551">
        <f t="shared" si="18"/>
        <v>2</v>
      </c>
      <c r="D551">
        <f t="shared" si="19"/>
        <v>0</v>
      </c>
    </row>
    <row r="552" spans="1:4" x14ac:dyDescent="0.3">
      <c r="A552" t="str">
        <v>Wheat</v>
      </c>
      <c r="B552" t="str">
        <v>Negative Growth</v>
      </c>
      <c r="C552">
        <f t="shared" si="18"/>
        <v>0</v>
      </c>
      <c r="D552">
        <f t="shared" si="19"/>
        <v>1</v>
      </c>
    </row>
    <row r="553" spans="1:4" x14ac:dyDescent="0.3">
      <c r="A553" t="str">
        <v>Wheat</v>
      </c>
      <c r="B553" t="str">
        <v>Negative Growth</v>
      </c>
      <c r="C553">
        <f t="shared" si="18"/>
        <v>0</v>
      </c>
      <c r="D553">
        <f t="shared" si="19"/>
        <v>2</v>
      </c>
    </row>
    <row r="554" spans="1:4" x14ac:dyDescent="0.3">
      <c r="A554" t="str">
        <v>Wheat</v>
      </c>
      <c r="B554" t="str">
        <v>Positive Growth</v>
      </c>
      <c r="C554">
        <f t="shared" si="18"/>
        <v>1</v>
      </c>
      <c r="D554">
        <f t="shared" si="19"/>
        <v>0</v>
      </c>
    </row>
    <row r="555" spans="1:4" x14ac:dyDescent="0.3">
      <c r="A555" t="str">
        <v>Wheat</v>
      </c>
      <c r="B555" t="str">
        <v>Negative Growth</v>
      </c>
      <c r="C555">
        <f t="shared" si="18"/>
        <v>0</v>
      </c>
      <c r="D555">
        <f t="shared" si="19"/>
        <v>1</v>
      </c>
    </row>
    <row r="556" spans="1:4" x14ac:dyDescent="0.3">
      <c r="A556" t="str">
        <v>Wheat</v>
      </c>
      <c r="B556" t="str">
        <v>Positive Growth</v>
      </c>
      <c r="C556">
        <f t="shared" si="18"/>
        <v>1</v>
      </c>
      <c r="D556">
        <f t="shared" si="19"/>
        <v>0</v>
      </c>
    </row>
    <row r="557" spans="1:4" x14ac:dyDescent="0.3">
      <c r="A557" t="str">
        <v>Wheat</v>
      </c>
      <c r="B557" t="str">
        <v>Positive Growth</v>
      </c>
      <c r="C557">
        <f t="shared" si="18"/>
        <v>2</v>
      </c>
      <c r="D557">
        <f t="shared" si="19"/>
        <v>0</v>
      </c>
    </row>
    <row r="558" spans="1:4" x14ac:dyDescent="0.3">
      <c r="A558" t="str">
        <v>Wheat</v>
      </c>
      <c r="B558" t="str">
        <v>Positive Growth</v>
      </c>
      <c r="C558">
        <f t="shared" si="18"/>
        <v>3</v>
      </c>
      <c r="D558">
        <f t="shared" si="19"/>
        <v>0</v>
      </c>
    </row>
    <row r="559" spans="1:4" x14ac:dyDescent="0.3">
      <c r="A559" t="str">
        <v>Wheat</v>
      </c>
      <c r="B559" t="str">
        <v>Negative Growth</v>
      </c>
      <c r="C559">
        <f t="shared" si="18"/>
        <v>0</v>
      </c>
      <c r="D559">
        <f t="shared" si="19"/>
        <v>1</v>
      </c>
    </row>
    <row r="560" spans="1:4" x14ac:dyDescent="0.3">
      <c r="A560" t="str">
        <v>Wheat</v>
      </c>
      <c r="B560" t="str">
        <v>Negative Growth</v>
      </c>
      <c r="C560">
        <f t="shared" si="18"/>
        <v>0</v>
      </c>
      <c r="D560">
        <f t="shared" si="19"/>
        <v>2</v>
      </c>
    </row>
    <row r="561" spans="1:4" x14ac:dyDescent="0.3">
      <c r="A561" t="str">
        <v>Wheat</v>
      </c>
      <c r="B561" t="str">
        <v>Negative Growth</v>
      </c>
      <c r="C561">
        <f t="shared" si="18"/>
        <v>0</v>
      </c>
      <c r="D561">
        <f t="shared" si="19"/>
        <v>3</v>
      </c>
    </row>
    <row r="562" spans="1:4" x14ac:dyDescent="0.3">
      <c r="A562" t="str">
        <v>Wheat</v>
      </c>
      <c r="B562" t="str">
        <v>Negative Growth</v>
      </c>
      <c r="C562">
        <f t="shared" si="18"/>
        <v>0</v>
      </c>
      <c r="D562">
        <f t="shared" si="19"/>
        <v>4</v>
      </c>
    </row>
    <row r="563" spans="1:4" x14ac:dyDescent="0.3">
      <c r="A563" t="str">
        <v>Wheat</v>
      </c>
      <c r="B563" t="str">
        <v>Positive Growth</v>
      </c>
      <c r="C563">
        <f t="shared" si="18"/>
        <v>1</v>
      </c>
      <c r="D563">
        <f t="shared" si="19"/>
        <v>0</v>
      </c>
    </row>
    <row r="564" spans="1:4" x14ac:dyDescent="0.3">
      <c r="A564" t="str">
        <v>Wheat</v>
      </c>
      <c r="B564" t="str">
        <v>Positive Growth</v>
      </c>
      <c r="C564">
        <f t="shared" si="18"/>
        <v>2</v>
      </c>
      <c r="D564">
        <f t="shared" si="19"/>
        <v>0</v>
      </c>
    </row>
    <row r="565" spans="1:4" x14ac:dyDescent="0.3">
      <c r="A565" t="str">
        <v>Wheat</v>
      </c>
      <c r="B565" t="str">
        <v>Positive Growth</v>
      </c>
      <c r="C565">
        <f t="shared" si="18"/>
        <v>3</v>
      </c>
      <c r="D565">
        <f t="shared" si="19"/>
        <v>0</v>
      </c>
    </row>
    <row r="566" spans="1:4" x14ac:dyDescent="0.3">
      <c r="A566" t="str">
        <v>Wheat</v>
      </c>
      <c r="B566" t="str">
        <v>Positive Growth</v>
      </c>
      <c r="C566">
        <f t="shared" si="18"/>
        <v>4</v>
      </c>
      <c r="D566">
        <f t="shared" si="19"/>
        <v>0</v>
      </c>
    </row>
    <row r="567" spans="1:4" x14ac:dyDescent="0.3">
      <c r="A567" t="str">
        <v>Wheat</v>
      </c>
      <c r="B567" t="str">
        <v>Negative Growth</v>
      </c>
      <c r="C567">
        <f t="shared" si="18"/>
        <v>0</v>
      </c>
      <c r="D567">
        <f t="shared" si="19"/>
        <v>1</v>
      </c>
    </row>
    <row r="568" spans="1:4" x14ac:dyDescent="0.3">
      <c r="A568" t="str">
        <v>Wheat</v>
      </c>
      <c r="B568" t="str">
        <v>Positive Growth</v>
      </c>
      <c r="C568">
        <f t="shared" si="18"/>
        <v>1</v>
      </c>
      <c r="D568">
        <f t="shared" si="19"/>
        <v>0</v>
      </c>
    </row>
    <row r="569" spans="1:4" x14ac:dyDescent="0.3">
      <c r="A569" t="str">
        <v>Wheat</v>
      </c>
      <c r="B569" t="str">
        <v>Positive Growth</v>
      </c>
      <c r="C569">
        <f t="shared" si="18"/>
        <v>2</v>
      </c>
      <c r="D569">
        <f t="shared" si="19"/>
        <v>0</v>
      </c>
    </row>
    <row r="570" spans="1:4" x14ac:dyDescent="0.3">
      <c r="A570" t="str">
        <v>Wheat</v>
      </c>
      <c r="B570" t="str">
        <v>Positive Growth</v>
      </c>
      <c r="C570">
        <f t="shared" si="18"/>
        <v>3</v>
      </c>
      <c r="D570">
        <f t="shared" si="19"/>
        <v>0</v>
      </c>
    </row>
    <row r="571" spans="1:4" x14ac:dyDescent="0.3">
      <c r="A571" t="str">
        <v>Wheat</v>
      </c>
      <c r="B571" t="str">
        <v>Negative Growth</v>
      </c>
      <c r="C571">
        <f t="shared" si="18"/>
        <v>0</v>
      </c>
      <c r="D571">
        <f t="shared" si="19"/>
        <v>1</v>
      </c>
    </row>
    <row r="572" spans="1:4" x14ac:dyDescent="0.3">
      <c r="A572" t="str">
        <v>Wheat</v>
      </c>
      <c r="B572" t="str">
        <v>Negative Growth</v>
      </c>
      <c r="C572">
        <f t="shared" si="18"/>
        <v>0</v>
      </c>
      <c r="D572">
        <f t="shared" si="19"/>
        <v>2</v>
      </c>
    </row>
    <row r="573" spans="1:4" x14ac:dyDescent="0.3">
      <c r="A573" t="str">
        <v>Wheat</v>
      </c>
      <c r="B573" t="str">
        <v>Positive Growth</v>
      </c>
      <c r="C573">
        <f t="shared" si="18"/>
        <v>1</v>
      </c>
      <c r="D573">
        <f t="shared" si="19"/>
        <v>0</v>
      </c>
    </row>
    <row r="574" spans="1:4" x14ac:dyDescent="0.3">
      <c r="A574" t="str">
        <v>Wheat</v>
      </c>
      <c r="B574" t="str">
        <v>Negative Growth</v>
      </c>
      <c r="C574">
        <f t="shared" si="18"/>
        <v>0</v>
      </c>
      <c r="D574">
        <f t="shared" si="19"/>
        <v>1</v>
      </c>
    </row>
    <row r="575" spans="1:4" x14ac:dyDescent="0.3">
      <c r="A575" t="str">
        <v>Wheat</v>
      </c>
      <c r="B575" t="str">
        <v>Positive Growth</v>
      </c>
      <c r="C575">
        <f t="shared" si="18"/>
        <v>1</v>
      </c>
      <c r="D575">
        <f t="shared" si="19"/>
        <v>0</v>
      </c>
    </row>
    <row r="576" spans="1:4" x14ac:dyDescent="0.3">
      <c r="A576" t="str">
        <v>Wheat</v>
      </c>
      <c r="B576" t="str">
        <v>Negative Growth</v>
      </c>
      <c r="C576">
        <f t="shared" si="18"/>
        <v>0</v>
      </c>
      <c r="D576">
        <f t="shared" si="19"/>
        <v>1</v>
      </c>
    </row>
    <row r="577" spans="1:4" x14ac:dyDescent="0.3">
      <c r="A577" t="str">
        <v>Wheat</v>
      </c>
      <c r="B577" t="str">
        <v>Negative Growth</v>
      </c>
      <c r="C577">
        <f t="shared" si="18"/>
        <v>0</v>
      </c>
      <c r="D577">
        <f t="shared" si="19"/>
        <v>2</v>
      </c>
    </row>
    <row r="578" spans="1:4" x14ac:dyDescent="0.3">
      <c r="A578" t="str">
        <v>Wheat</v>
      </c>
      <c r="B578" t="str">
        <v>Negative Growth</v>
      </c>
      <c r="C578">
        <f t="shared" si="18"/>
        <v>0</v>
      </c>
      <c r="D578">
        <f t="shared" si="19"/>
        <v>3</v>
      </c>
    </row>
    <row r="579" spans="1:4" x14ac:dyDescent="0.3">
      <c r="A579" t="str">
        <v>Wheat</v>
      </c>
      <c r="B579" t="str">
        <v>Negative Growth</v>
      </c>
      <c r="C579">
        <f t="shared" si="18"/>
        <v>0</v>
      </c>
      <c r="D579">
        <f t="shared" si="19"/>
        <v>4</v>
      </c>
    </row>
    <row r="580" spans="1:4" x14ac:dyDescent="0.3">
      <c r="A580" t="str">
        <v>Wheat</v>
      </c>
      <c r="B580" t="str">
        <v>Positive Growth</v>
      </c>
      <c r="C580">
        <f t="shared" ref="C580:C587" si="20">IF(A580&lt;&gt;A579,IF(B580="Positive Growth",1,0),IF(B580="Positive Growth",IF(B579="Positive Growth",C579+1,1),0))</f>
        <v>1</v>
      </c>
      <c r="D580">
        <f t="shared" ref="D580:D587" si="21">IF(A580&lt;&gt;A579,IF(B580="Negative Growth",1,0),IF(B580="Negative Growth",IF(B579="Negative Growth",D579+1,1),0))</f>
        <v>0</v>
      </c>
    </row>
    <row r="581" spans="1:4" x14ac:dyDescent="0.3">
      <c r="A581" t="str">
        <v>Wheat</v>
      </c>
      <c r="B581" t="str">
        <v>Positive Growth</v>
      </c>
      <c r="C581">
        <f t="shared" si="20"/>
        <v>2</v>
      </c>
      <c r="D581">
        <f t="shared" si="21"/>
        <v>0</v>
      </c>
    </row>
    <row r="582" spans="1:4" x14ac:dyDescent="0.3">
      <c r="A582" t="str">
        <v>Wheat</v>
      </c>
      <c r="B582" t="str">
        <v>Positive Growth</v>
      </c>
      <c r="C582">
        <f t="shared" si="20"/>
        <v>3</v>
      </c>
      <c r="D582">
        <f t="shared" si="21"/>
        <v>0</v>
      </c>
    </row>
    <row r="583" spans="1:4" x14ac:dyDescent="0.3">
      <c r="A583" t="str">
        <v>Wheat</v>
      </c>
      <c r="B583" t="str">
        <v>Positive Growth</v>
      </c>
      <c r="C583">
        <f t="shared" si="20"/>
        <v>4</v>
      </c>
      <c r="D583">
        <f t="shared" si="21"/>
        <v>0</v>
      </c>
    </row>
    <row r="584" spans="1:4" x14ac:dyDescent="0.3">
      <c r="A584" t="str">
        <v>Wheat</v>
      </c>
      <c r="B584" t="str">
        <v>Positive Growth</v>
      </c>
      <c r="C584">
        <f t="shared" si="20"/>
        <v>5</v>
      </c>
      <c r="D584">
        <f t="shared" si="21"/>
        <v>0</v>
      </c>
    </row>
    <row r="585" spans="1:4" x14ac:dyDescent="0.3">
      <c r="A585" t="str">
        <v>Wheat</v>
      </c>
      <c r="B585" t="str">
        <v>Positive Growth</v>
      </c>
      <c r="C585">
        <f t="shared" si="20"/>
        <v>6</v>
      </c>
      <c r="D585">
        <f t="shared" si="21"/>
        <v>0</v>
      </c>
    </row>
    <row r="586" spans="1:4" x14ac:dyDescent="0.3">
      <c r="A586" t="str">
        <v>Wheat</v>
      </c>
      <c r="B586" t="str">
        <v>Negative Growth</v>
      </c>
      <c r="C586">
        <f t="shared" si="20"/>
        <v>0</v>
      </c>
      <c r="D586">
        <f t="shared" si="21"/>
        <v>1</v>
      </c>
    </row>
    <row r="587" spans="1:4" x14ac:dyDescent="0.3">
      <c r="A587" t="str">
        <v>Wheat</v>
      </c>
      <c r="B587" t="str">
        <v>Positive Growth</v>
      </c>
      <c r="C587">
        <f t="shared" si="20"/>
        <v>1</v>
      </c>
      <c r="D587">
        <f t="shared" si="21"/>
        <v>0</v>
      </c>
    </row>
  </sheetData>
  <sheetProtection sheet="1"/>
  <autoFilter ref="A1:D1" xr:uid="{BA9C8B12-1DBA-4313-94A5-A27826D2E76F}"/>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1DA9A-CC61-4DBA-A50B-901C699A13AC}">
  <dimension ref="A1:D2"/>
  <sheetViews>
    <sheetView workbookViewId="0">
      <selection activeCell="R7" sqref="R7"/>
    </sheetView>
  </sheetViews>
  <sheetFormatPr defaultRowHeight="14.4" x14ac:dyDescent="0.3"/>
  <cols>
    <col min="1" max="1" width="8.6640625" bestFit="1" customWidth="1"/>
    <col min="2" max="2" width="10.5546875" bestFit="1" customWidth="1"/>
    <col min="3" max="3" width="10.109375" bestFit="1" customWidth="1"/>
    <col min="4" max="4" width="12" bestFit="1" customWidth="1"/>
    <col min="5" max="5" width="22.21875" bestFit="1" customWidth="1"/>
  </cols>
  <sheetData>
    <row r="1" spans="1:4" x14ac:dyDescent="0.3">
      <c r="A1" t="s">
        <v>637</v>
      </c>
      <c r="B1" t="s">
        <v>636</v>
      </c>
      <c r="C1" t="s">
        <v>638</v>
      </c>
      <c r="D1" t="s">
        <v>639</v>
      </c>
    </row>
    <row r="2" spans="1:4" x14ac:dyDescent="0.3">
      <c r="A2" s="1">
        <v>1969</v>
      </c>
      <c r="B2" s="13">
        <v>0.85077490774907749</v>
      </c>
      <c r="C2" s="1">
        <v>1975</v>
      </c>
      <c r="D2" s="13">
        <v>-0.35758470406298337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D6C8-144F-4924-B111-4A00366DEA2E}">
  <dimension ref="A2:L12"/>
  <sheetViews>
    <sheetView workbookViewId="0">
      <selection activeCell="N11" sqref="N11"/>
    </sheetView>
  </sheetViews>
  <sheetFormatPr defaultRowHeight="14.4" x14ac:dyDescent="0.3"/>
  <cols>
    <col min="1" max="1" width="14.33203125" bestFit="1" customWidth="1"/>
    <col min="2" max="2" width="22.21875" bestFit="1" customWidth="1"/>
    <col min="3" max="3" width="12.33203125" bestFit="1" customWidth="1"/>
    <col min="9" max="9" width="11.77734375" bestFit="1" customWidth="1"/>
    <col min="10" max="10" width="9.5546875" customWidth="1"/>
    <col min="11" max="11" width="9.109375" bestFit="1" customWidth="1"/>
  </cols>
  <sheetData>
    <row r="2" spans="1:12" x14ac:dyDescent="0.3">
      <c r="A2" s="8" t="s">
        <v>623</v>
      </c>
      <c r="B2" t="s">
        <v>625</v>
      </c>
      <c r="C2" t="s">
        <v>644</v>
      </c>
      <c r="D2" t="s">
        <v>648</v>
      </c>
      <c r="E2" t="s">
        <v>649</v>
      </c>
      <c r="F2" t="s">
        <v>650</v>
      </c>
      <c r="I2" t="str">
        <f>A2</f>
        <v>Commodities</v>
      </c>
      <c r="J2" t="str">
        <f>D2</f>
        <v>Stable</v>
      </c>
      <c r="K2" t="str">
        <f>E2</f>
        <v>Moderate</v>
      </c>
      <c r="L2" t="str">
        <f>F2</f>
        <v>High Risk</v>
      </c>
    </row>
    <row r="3" spans="1:12" x14ac:dyDescent="0.3">
      <c r="A3" s="15" t="s">
        <v>79</v>
      </c>
      <c r="B3" s="13">
        <v>0.6277766680118162</v>
      </c>
      <c r="C3" s="1" t="s">
        <v>645</v>
      </c>
      <c r="D3" t="e">
        <f t="shared" ref="D3:D12" si="0">IF(C3="🟢 Stable",B3,NA())</f>
        <v>#N/A</v>
      </c>
      <c r="E3" t="e">
        <f t="shared" ref="E3:E12" si="1">IF(C3="🟡 Moderate",B3,NA())</f>
        <v>#N/A</v>
      </c>
      <c r="F3">
        <f t="shared" ref="F3:F12" si="2">IF(C3="🔴 High Risk",B3,NA())</f>
        <v>0.6277766680118162</v>
      </c>
      <c r="I3" t="str">
        <f t="shared" ref="I3:I12" si="3">A3</f>
        <v>Sugar</v>
      </c>
      <c r="J3" t="e">
        <f t="shared" ref="J3:J12" si="4">D3</f>
        <v>#N/A</v>
      </c>
      <c r="K3" t="e">
        <f t="shared" ref="K3:K12" si="5">E3</f>
        <v>#N/A</v>
      </c>
      <c r="L3">
        <f t="shared" ref="L3:L12" si="6">F3</f>
        <v>0.6277766680118162</v>
      </c>
    </row>
    <row r="4" spans="1:12" x14ac:dyDescent="0.3">
      <c r="A4" s="15" t="s">
        <v>73</v>
      </c>
      <c r="B4" s="13">
        <v>0.55363153549099575</v>
      </c>
      <c r="C4" s="1" t="s">
        <v>645</v>
      </c>
      <c r="D4" t="e">
        <f t="shared" si="0"/>
        <v>#N/A</v>
      </c>
      <c r="E4" t="e">
        <f t="shared" si="1"/>
        <v>#N/A</v>
      </c>
      <c r="F4">
        <f t="shared" si="2"/>
        <v>0.55363153549099575</v>
      </c>
      <c r="I4" t="str">
        <f t="shared" si="3"/>
        <v>Coffee</v>
      </c>
      <c r="J4" t="e">
        <f t="shared" si="4"/>
        <v>#N/A</v>
      </c>
      <c r="K4" t="e">
        <f t="shared" si="5"/>
        <v>#N/A</v>
      </c>
      <c r="L4">
        <f t="shared" si="6"/>
        <v>0.55363153549099575</v>
      </c>
    </row>
    <row r="5" spans="1:12" x14ac:dyDescent="0.3">
      <c r="A5" s="15" t="s">
        <v>74</v>
      </c>
      <c r="B5" s="13">
        <v>0.46299729647846921</v>
      </c>
      <c r="C5" s="1" t="s">
        <v>647</v>
      </c>
      <c r="D5" t="e">
        <f t="shared" si="0"/>
        <v>#N/A</v>
      </c>
      <c r="E5">
        <f t="shared" si="1"/>
        <v>0.46299729647846921</v>
      </c>
      <c r="F5" t="e">
        <f t="shared" si="2"/>
        <v>#N/A</v>
      </c>
      <c r="I5" t="str">
        <f t="shared" si="3"/>
        <v>Lumber</v>
      </c>
      <c r="J5" t="e">
        <f t="shared" si="4"/>
        <v>#N/A</v>
      </c>
      <c r="K5">
        <f t="shared" si="5"/>
        <v>0.46299729647846921</v>
      </c>
      <c r="L5" t="e">
        <f t="shared" si="6"/>
        <v>#N/A</v>
      </c>
    </row>
    <row r="6" spans="1:12" x14ac:dyDescent="0.3">
      <c r="A6" s="15" t="s">
        <v>76</v>
      </c>
      <c r="B6" s="13">
        <v>0.45689069583198549</v>
      </c>
      <c r="C6" s="1" t="s">
        <v>647</v>
      </c>
      <c r="D6" t="e">
        <f t="shared" si="0"/>
        <v>#N/A</v>
      </c>
      <c r="E6">
        <f t="shared" si="1"/>
        <v>0.45689069583198549</v>
      </c>
      <c r="F6" t="e">
        <f t="shared" si="2"/>
        <v>#N/A</v>
      </c>
      <c r="I6" t="str">
        <f t="shared" si="3"/>
        <v>Oats</v>
      </c>
      <c r="J6" t="e">
        <f t="shared" si="4"/>
        <v>#N/A</v>
      </c>
      <c r="K6">
        <f t="shared" si="5"/>
        <v>0.45689069583198549</v>
      </c>
      <c r="L6" t="e">
        <f t="shared" si="6"/>
        <v>#N/A</v>
      </c>
    </row>
    <row r="7" spans="1:12" x14ac:dyDescent="0.3">
      <c r="A7" s="15" t="s">
        <v>75</v>
      </c>
      <c r="B7" s="13">
        <v>0.42243200727898267</v>
      </c>
      <c r="C7" s="1" t="s">
        <v>647</v>
      </c>
      <c r="D7" t="e">
        <f t="shared" si="0"/>
        <v>#N/A</v>
      </c>
      <c r="E7">
        <f t="shared" si="1"/>
        <v>0.42243200727898267</v>
      </c>
      <c r="F7" t="e">
        <f t="shared" si="2"/>
        <v>#N/A</v>
      </c>
      <c r="I7" t="str">
        <f t="shared" si="3"/>
        <v>Cotton</v>
      </c>
      <c r="J7" t="e">
        <f t="shared" si="4"/>
        <v>#N/A</v>
      </c>
      <c r="K7">
        <f t="shared" si="5"/>
        <v>0.42243200727898267</v>
      </c>
      <c r="L7" t="e">
        <f t="shared" si="6"/>
        <v>#N/A</v>
      </c>
    </row>
    <row r="8" spans="1:12" x14ac:dyDescent="0.3">
      <c r="A8" s="15" t="s">
        <v>78</v>
      </c>
      <c r="B8" s="13">
        <v>0.39763937981331632</v>
      </c>
      <c r="C8" s="1" t="s">
        <v>646</v>
      </c>
      <c r="D8">
        <f t="shared" si="0"/>
        <v>0.39763937981331632</v>
      </c>
      <c r="E8" t="e">
        <f t="shared" si="1"/>
        <v>#N/A</v>
      </c>
      <c r="F8" t="e">
        <f t="shared" si="2"/>
        <v>#N/A</v>
      </c>
      <c r="I8" t="str">
        <f t="shared" si="3"/>
        <v>Soybean Oil</v>
      </c>
      <c r="J8">
        <f t="shared" si="4"/>
        <v>0.39763937981331632</v>
      </c>
      <c r="K8" t="e">
        <f t="shared" si="5"/>
        <v>#N/A</v>
      </c>
      <c r="L8" t="e">
        <f t="shared" si="6"/>
        <v>#N/A</v>
      </c>
    </row>
    <row r="9" spans="1:12" x14ac:dyDescent="0.3">
      <c r="A9" s="15" t="s">
        <v>82</v>
      </c>
      <c r="B9" s="13">
        <v>0.38449982896839419</v>
      </c>
      <c r="C9" s="1" t="s">
        <v>646</v>
      </c>
      <c r="D9">
        <f t="shared" si="0"/>
        <v>0.38449982896839419</v>
      </c>
      <c r="E9" t="e">
        <f t="shared" si="1"/>
        <v>#N/A</v>
      </c>
      <c r="F9" t="e">
        <f t="shared" si="2"/>
        <v>#N/A</v>
      </c>
      <c r="I9" t="str">
        <f t="shared" si="3"/>
        <v>Copper</v>
      </c>
      <c r="J9">
        <f t="shared" si="4"/>
        <v>0.38449982896839419</v>
      </c>
      <c r="K9" t="e">
        <f t="shared" si="5"/>
        <v>#N/A</v>
      </c>
      <c r="L9" t="e">
        <f t="shared" si="6"/>
        <v>#N/A</v>
      </c>
    </row>
    <row r="10" spans="1:12" x14ac:dyDescent="0.3">
      <c r="A10" s="15" t="s">
        <v>81</v>
      </c>
      <c r="B10" s="13">
        <v>0.37624896766507265</v>
      </c>
      <c r="C10" s="1" t="s">
        <v>646</v>
      </c>
      <c r="D10">
        <f t="shared" si="0"/>
        <v>0.37624896766507265</v>
      </c>
      <c r="E10" t="e">
        <f t="shared" si="1"/>
        <v>#N/A</v>
      </c>
      <c r="F10" t="e">
        <f t="shared" si="2"/>
        <v>#N/A</v>
      </c>
      <c r="I10" t="str">
        <f t="shared" si="3"/>
        <v>Wheat</v>
      </c>
      <c r="J10">
        <f t="shared" si="4"/>
        <v>0.37624896766507265</v>
      </c>
      <c r="K10" t="e">
        <f t="shared" si="5"/>
        <v>#N/A</v>
      </c>
      <c r="L10" t="e">
        <f t="shared" si="6"/>
        <v>#N/A</v>
      </c>
    </row>
    <row r="11" spans="1:12" x14ac:dyDescent="0.3">
      <c r="A11" s="15" t="s">
        <v>77</v>
      </c>
      <c r="B11" s="13">
        <v>0.36391202734615152</v>
      </c>
      <c r="C11" s="1" t="s">
        <v>646</v>
      </c>
      <c r="D11">
        <f t="shared" si="0"/>
        <v>0.36391202734615152</v>
      </c>
      <c r="E11" t="e">
        <f t="shared" si="1"/>
        <v>#N/A</v>
      </c>
      <c r="F11" t="e">
        <f t="shared" si="2"/>
        <v>#N/A</v>
      </c>
      <c r="I11" t="str">
        <f t="shared" si="3"/>
        <v>Soybean</v>
      </c>
      <c r="J11">
        <f t="shared" si="4"/>
        <v>0.36391202734615152</v>
      </c>
      <c r="K11" t="e">
        <f t="shared" si="5"/>
        <v>#N/A</v>
      </c>
      <c r="L11" t="e">
        <f t="shared" si="6"/>
        <v>#N/A</v>
      </c>
    </row>
    <row r="12" spans="1:12" x14ac:dyDescent="0.3">
      <c r="A12" s="15" t="s">
        <v>80</v>
      </c>
      <c r="B12" s="13">
        <v>0.35184772046106583</v>
      </c>
      <c r="C12" s="1" t="s">
        <v>646</v>
      </c>
      <c r="D12">
        <f t="shared" si="0"/>
        <v>0.35184772046106583</v>
      </c>
      <c r="E12" t="e">
        <f t="shared" si="1"/>
        <v>#N/A</v>
      </c>
      <c r="F12" t="e">
        <f t="shared" si="2"/>
        <v>#N/A</v>
      </c>
      <c r="I12" t="str">
        <f t="shared" si="3"/>
        <v>Corn</v>
      </c>
      <c r="J12">
        <f t="shared" si="4"/>
        <v>0.35184772046106583</v>
      </c>
      <c r="K12" t="e">
        <f t="shared" si="5"/>
        <v>#N/A</v>
      </c>
      <c r="L12" t="e">
        <f t="shared" si="6"/>
        <v>#N/A</v>
      </c>
    </row>
  </sheetData>
  <conditionalFormatting sqref="C2 C13">
    <cfRule type="cellIs" dxfId="17" priority="1" operator="equal">
      <formula>"🔴 High Risk"</formula>
    </cfRule>
    <cfRule type="cellIs" dxfId="16" priority="2" operator="equal">
      <formula>"🟡 Moderate"</formula>
    </cfRule>
    <cfRule type="cellIs" dxfId="15" priority="3" operator="equal">
      <formula>"🟢 Stable"</formula>
    </cfRule>
  </conditionalFormatting>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0B619-876F-41B4-AA9A-B6C88E9B0677}">
  <dimension ref="A1:L60"/>
  <sheetViews>
    <sheetView workbookViewId="0">
      <selection activeCell="A3" sqref="A3"/>
    </sheetView>
  </sheetViews>
  <sheetFormatPr defaultRowHeight="14.4" x14ac:dyDescent="0.3"/>
  <cols>
    <col min="1" max="1" width="12.5546875" bestFit="1" customWidth="1"/>
    <col min="2" max="2" width="22.21875" bestFit="1" customWidth="1"/>
    <col min="3" max="3" width="23.33203125" bestFit="1" customWidth="1"/>
    <col min="4" max="4" width="20.88671875" bestFit="1" customWidth="1"/>
  </cols>
  <sheetData>
    <row r="1" spans="1:7" x14ac:dyDescent="0.3">
      <c r="A1" s="21" t="s">
        <v>633</v>
      </c>
      <c r="B1" s="21"/>
      <c r="C1" s="21"/>
      <c r="D1" s="21"/>
      <c r="E1" s="21"/>
      <c r="F1" s="21"/>
      <c r="G1" s="21"/>
    </row>
    <row r="2" spans="1:7" x14ac:dyDescent="0.3">
      <c r="A2" s="21"/>
      <c r="B2" s="21"/>
      <c r="C2" s="21"/>
      <c r="D2" s="21"/>
      <c r="E2" s="21"/>
      <c r="F2" s="21"/>
      <c r="G2" s="21"/>
    </row>
    <row r="3" spans="1:7" x14ac:dyDescent="0.3">
      <c r="A3" s="8" t="s">
        <v>617</v>
      </c>
      <c r="B3" t="s">
        <v>625</v>
      </c>
    </row>
    <row r="4" spans="1:7" x14ac:dyDescent="0.3">
      <c r="A4" s="15" t="s">
        <v>82</v>
      </c>
      <c r="B4" s="13">
        <v>0.38449982896839419</v>
      </c>
    </row>
    <row r="5" spans="1:7" x14ac:dyDescent="0.3">
      <c r="A5" s="15" t="s">
        <v>72</v>
      </c>
      <c r="B5" s="13">
        <v>0.38449982896839419</v>
      </c>
    </row>
    <row r="47" spans="1:12" x14ac:dyDescent="0.3">
      <c r="A47" s="20" t="s">
        <v>632</v>
      </c>
      <c r="B47" s="20"/>
      <c r="C47" s="20"/>
      <c r="D47" s="20"/>
      <c r="E47" s="20"/>
      <c r="F47" s="20"/>
      <c r="G47" s="20"/>
      <c r="H47" s="20"/>
      <c r="I47" s="20"/>
      <c r="J47" s="20"/>
      <c r="K47" s="20"/>
      <c r="L47" s="20"/>
    </row>
    <row r="48" spans="1:12" x14ac:dyDescent="0.3">
      <c r="A48" s="20"/>
      <c r="B48" s="20"/>
      <c r="C48" s="20"/>
      <c r="D48" s="20"/>
      <c r="E48" s="20"/>
      <c r="F48" s="20"/>
      <c r="G48" s="20"/>
      <c r="H48" s="20"/>
      <c r="I48" s="20"/>
      <c r="J48" s="20"/>
      <c r="K48" s="20"/>
      <c r="L48" s="20"/>
    </row>
    <row r="49" spans="1:3" x14ac:dyDescent="0.3">
      <c r="A49" s="17" t="s">
        <v>617</v>
      </c>
      <c r="B49" s="18" t="s">
        <v>622</v>
      </c>
      <c r="C49" s="18" t="s">
        <v>625</v>
      </c>
    </row>
    <row r="50" spans="1:3" x14ac:dyDescent="0.3">
      <c r="A50" s="15" t="s">
        <v>73</v>
      </c>
      <c r="B50" s="4">
        <v>9.1409803921568625E-2</v>
      </c>
      <c r="C50" s="4">
        <v>0.55363153549099575</v>
      </c>
    </row>
    <row r="51" spans="1:3" x14ac:dyDescent="0.3">
      <c r="A51" s="15" t="s">
        <v>82</v>
      </c>
      <c r="B51" s="4">
        <v>8.4229230769230765E-2</v>
      </c>
      <c r="C51" s="4">
        <v>0.38449982896839419</v>
      </c>
    </row>
    <row r="52" spans="1:3" x14ac:dyDescent="0.3">
      <c r="A52" s="15" t="s">
        <v>80</v>
      </c>
      <c r="B52" s="4">
        <v>4.786E-2</v>
      </c>
      <c r="C52" s="4">
        <v>0.35184772046106583</v>
      </c>
    </row>
    <row r="53" spans="1:3" x14ac:dyDescent="0.3">
      <c r="A53" s="15" t="s">
        <v>75</v>
      </c>
      <c r="B53" s="4">
        <v>6.4709615384615379E-2</v>
      </c>
      <c r="C53" s="4">
        <v>0.42243200727898267</v>
      </c>
    </row>
    <row r="54" spans="1:3" x14ac:dyDescent="0.3">
      <c r="A54" s="15" t="s">
        <v>74</v>
      </c>
      <c r="B54" s="4">
        <v>6.3019230769230772E-2</v>
      </c>
      <c r="C54" s="4">
        <v>0.46299729647846921</v>
      </c>
    </row>
    <row r="55" spans="1:3" x14ac:dyDescent="0.3">
      <c r="A55" s="15" t="s">
        <v>76</v>
      </c>
      <c r="B55" s="4">
        <v>6.5946296296296295E-2</v>
      </c>
      <c r="C55" s="4">
        <v>0.45689069583198549</v>
      </c>
    </row>
    <row r="56" spans="1:3" x14ac:dyDescent="0.3">
      <c r="A56" s="15" t="s">
        <v>77</v>
      </c>
      <c r="B56" s="4">
        <v>5.3800000000000001E-2</v>
      </c>
      <c r="C56" s="4">
        <v>0.36391202734615152</v>
      </c>
    </row>
    <row r="57" spans="1:3" x14ac:dyDescent="0.3">
      <c r="A57" s="15" t="s">
        <v>78</v>
      </c>
      <c r="B57" s="4">
        <v>7.3374999999999996E-2</v>
      </c>
      <c r="C57" s="4">
        <v>0.39763937981331632</v>
      </c>
    </row>
    <row r="58" spans="1:3" x14ac:dyDescent="0.3">
      <c r="A58" s="15" t="s">
        <v>79</v>
      </c>
      <c r="B58" s="4">
        <v>0.13861774193548387</v>
      </c>
      <c r="C58" s="4">
        <v>0.6277766680118162</v>
      </c>
    </row>
    <row r="59" spans="1:3" x14ac:dyDescent="0.3">
      <c r="A59" s="15" t="s">
        <v>81</v>
      </c>
      <c r="B59" s="4">
        <v>4.8221538461538462E-2</v>
      </c>
      <c r="C59" s="4">
        <v>0.37624896766507265</v>
      </c>
    </row>
    <row r="60" spans="1:3" x14ac:dyDescent="0.3">
      <c r="A60" s="19"/>
      <c r="B60" s="4"/>
      <c r="C60" s="4"/>
    </row>
  </sheetData>
  <mergeCells count="2">
    <mergeCell ref="A47:L48"/>
    <mergeCell ref="A1:G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4AB5-A7E8-4966-8DFE-6484F7458195}">
  <dimension ref="A1:E67"/>
  <sheetViews>
    <sheetView workbookViewId="0">
      <selection activeCell="G4" sqref="G4"/>
    </sheetView>
  </sheetViews>
  <sheetFormatPr defaultRowHeight="14.4" x14ac:dyDescent="0.3"/>
  <cols>
    <col min="1" max="1" width="12.5546875" bestFit="1" customWidth="1"/>
    <col min="2" max="2" width="20.21875" bestFit="1" customWidth="1"/>
    <col min="3" max="3" width="19.109375" bestFit="1" customWidth="1"/>
    <col min="4" max="4" width="16.77734375" bestFit="1" customWidth="1"/>
    <col min="5" max="5" width="16.44140625" bestFit="1" customWidth="1"/>
    <col min="6" max="6" width="11.77734375" bestFit="1" customWidth="1"/>
    <col min="7" max="7" width="11.44140625" bestFit="1" customWidth="1"/>
    <col min="8" max="8" width="19.33203125" bestFit="1" customWidth="1"/>
  </cols>
  <sheetData>
    <row r="1" spans="1:5" x14ac:dyDescent="0.3">
      <c r="A1" s="8" t="s">
        <v>617</v>
      </c>
      <c r="B1" t="s">
        <v>83</v>
      </c>
      <c r="C1" t="s">
        <v>84</v>
      </c>
      <c r="D1" t="s">
        <v>85</v>
      </c>
      <c r="E1" t="s">
        <v>86</v>
      </c>
    </row>
    <row r="2" spans="1:5" x14ac:dyDescent="0.3">
      <c r="A2" s="15">
        <v>1960</v>
      </c>
      <c r="B2" s="9">
        <v>0.31869999999999998</v>
      </c>
      <c r="C2" s="9">
        <v>0.27729999999999999</v>
      </c>
      <c r="D2" s="9">
        <v>0.3286</v>
      </c>
      <c r="E2" s="9">
        <v>0.27529999999999999</v>
      </c>
    </row>
    <row r="3" spans="1:5" x14ac:dyDescent="0.3">
      <c r="A3" s="15">
        <v>1961</v>
      </c>
      <c r="B3" s="9">
        <v>0.2767</v>
      </c>
      <c r="C3" s="9">
        <v>0.30149999999999999</v>
      </c>
      <c r="D3" s="9">
        <v>0.3276</v>
      </c>
      <c r="E3" s="9">
        <v>0.26719999999999999</v>
      </c>
    </row>
    <row r="4" spans="1:5" x14ac:dyDescent="0.3">
      <c r="A4" s="15">
        <v>1962</v>
      </c>
      <c r="B4" s="9">
        <v>0.3019</v>
      </c>
      <c r="C4" s="9">
        <v>0.28789999999999999</v>
      </c>
      <c r="D4" s="9">
        <v>0.3075</v>
      </c>
      <c r="E4" s="9">
        <v>0.28000000000000003</v>
      </c>
    </row>
    <row r="5" spans="1:5" x14ac:dyDescent="0.3">
      <c r="A5" s="15">
        <v>1963</v>
      </c>
      <c r="B5" s="9">
        <v>0.28699999999999998</v>
      </c>
      <c r="C5" s="9">
        <v>0.30459999999999998</v>
      </c>
      <c r="D5" s="9">
        <v>0.30459999999999998</v>
      </c>
      <c r="E5" s="9">
        <v>0.28699999999999998</v>
      </c>
    </row>
    <row r="6" spans="1:5" x14ac:dyDescent="0.3">
      <c r="A6" s="15">
        <v>1964</v>
      </c>
      <c r="B6" s="9">
        <v>0.30549999999999999</v>
      </c>
      <c r="C6" s="9">
        <v>0.3715</v>
      </c>
      <c r="D6" s="9">
        <v>0.58950000000000002</v>
      </c>
      <c r="E6" s="9">
        <v>0.30449999999999999</v>
      </c>
    </row>
    <row r="7" spans="1:5" x14ac:dyDescent="0.3">
      <c r="A7" s="15">
        <v>1965</v>
      </c>
      <c r="B7" s="9">
        <v>0.378</v>
      </c>
      <c r="C7" s="9">
        <v>0.57569999999999999</v>
      </c>
      <c r="D7" s="9">
        <v>0.60450000000000004</v>
      </c>
      <c r="E7" s="9">
        <v>0.36549999999999999</v>
      </c>
    </row>
    <row r="8" spans="1:5" x14ac:dyDescent="0.3">
      <c r="A8" s="15">
        <v>1966</v>
      </c>
      <c r="B8" s="9">
        <v>0.58699999999999997</v>
      </c>
      <c r="C8" s="9">
        <v>0.5403</v>
      </c>
      <c r="D8" s="9">
        <v>0.82699999999999996</v>
      </c>
      <c r="E8" s="9">
        <v>0.46400000000000002</v>
      </c>
    </row>
    <row r="9" spans="1:5" x14ac:dyDescent="0.3">
      <c r="A9" s="15">
        <v>1967</v>
      </c>
      <c r="B9" s="9">
        <v>0.55200000000000005</v>
      </c>
      <c r="C9" s="9">
        <v>0.57579999999999998</v>
      </c>
      <c r="D9" s="9">
        <v>0.64529999999999998</v>
      </c>
      <c r="E9" s="9">
        <v>0.41499999999999998</v>
      </c>
    </row>
    <row r="10" spans="1:5" x14ac:dyDescent="0.3">
      <c r="A10" s="15">
        <v>1968</v>
      </c>
      <c r="B10" s="9">
        <v>0.57999999999999996</v>
      </c>
      <c r="C10" s="9">
        <v>0.50829999999999997</v>
      </c>
      <c r="D10" s="9">
        <v>0.74</v>
      </c>
      <c r="E10" s="9">
        <v>0.433</v>
      </c>
    </row>
    <row r="11" spans="1:5" x14ac:dyDescent="0.3">
      <c r="A11" s="15">
        <v>1969</v>
      </c>
      <c r="B11" s="9">
        <v>0.51449999999999996</v>
      </c>
      <c r="C11" s="9">
        <v>0.73029999999999995</v>
      </c>
      <c r="D11" s="9">
        <v>0.74399999999999999</v>
      </c>
      <c r="E11" s="9">
        <v>0.504</v>
      </c>
    </row>
    <row r="12" spans="1:5" x14ac:dyDescent="0.3">
      <c r="A12" s="15">
        <v>1970</v>
      </c>
      <c r="B12" s="9">
        <v>0.71799999999999997</v>
      </c>
      <c r="C12" s="9">
        <v>0.46460000000000001</v>
      </c>
      <c r="D12" s="9">
        <v>0.77100000000000002</v>
      </c>
      <c r="E12" s="9">
        <v>0.45450000000000002</v>
      </c>
    </row>
    <row r="13" spans="1:5" x14ac:dyDescent="0.3">
      <c r="A13" s="15">
        <v>1971</v>
      </c>
      <c r="B13" s="9">
        <v>0.46850000000000003</v>
      </c>
      <c r="C13" s="9">
        <v>0.48609999999999998</v>
      </c>
      <c r="D13" s="9">
        <v>0.58599999999999997</v>
      </c>
      <c r="E13" s="9">
        <v>0.44350000000000001</v>
      </c>
    </row>
    <row r="14" spans="1:5" x14ac:dyDescent="0.3">
      <c r="A14" s="15">
        <v>1972</v>
      </c>
      <c r="B14" s="9">
        <v>0.48649999999999999</v>
      </c>
      <c r="C14" s="9">
        <v>0.50080000000000002</v>
      </c>
      <c r="D14" s="9">
        <v>0.53300000000000003</v>
      </c>
      <c r="E14" s="9">
        <v>0.46100000000000002</v>
      </c>
    </row>
    <row r="15" spans="1:5" x14ac:dyDescent="0.3">
      <c r="A15" s="15">
        <v>1973</v>
      </c>
      <c r="B15" s="9">
        <v>0.502</v>
      </c>
      <c r="C15" s="9">
        <v>0.86719999999999997</v>
      </c>
      <c r="D15" s="9">
        <v>1.0585</v>
      </c>
      <c r="E15" s="9">
        <v>0.502</v>
      </c>
    </row>
    <row r="16" spans="1:5" x14ac:dyDescent="0.3">
      <c r="A16" s="15">
        <v>1974</v>
      </c>
      <c r="B16" s="9">
        <v>0.85599999999999998</v>
      </c>
      <c r="C16" s="9">
        <v>0.53359999999999996</v>
      </c>
      <c r="D16" s="9">
        <v>1.383</v>
      </c>
      <c r="E16" s="9">
        <v>0.53359999999999996</v>
      </c>
    </row>
    <row r="17" spans="1:5" x14ac:dyDescent="0.3">
      <c r="A17" s="15">
        <v>1975</v>
      </c>
      <c r="B17" s="9">
        <v>0.53100000000000003</v>
      </c>
      <c r="C17" s="9">
        <v>0.55159999999999998</v>
      </c>
      <c r="D17" s="9">
        <v>0.629</v>
      </c>
      <c r="E17" s="9">
        <v>0.51600000000000001</v>
      </c>
    </row>
    <row r="18" spans="1:5" x14ac:dyDescent="0.3">
      <c r="A18" s="15">
        <v>1976</v>
      </c>
      <c r="B18" s="9">
        <v>0.55800000000000005</v>
      </c>
      <c r="C18" s="9">
        <v>0.63039999999999996</v>
      </c>
      <c r="D18" s="9">
        <v>0.78300000000000003</v>
      </c>
      <c r="E18" s="9">
        <v>0.53800000000000003</v>
      </c>
    </row>
    <row r="19" spans="1:5" x14ac:dyDescent="0.3">
      <c r="A19" s="15">
        <v>1977</v>
      </c>
      <c r="B19" s="9">
        <v>0.64400000000000002</v>
      </c>
      <c r="C19" s="9">
        <v>0.60140000000000005</v>
      </c>
      <c r="D19" s="9">
        <v>0.72399999999999998</v>
      </c>
      <c r="E19" s="9">
        <v>0.52</v>
      </c>
    </row>
    <row r="20" spans="1:5" x14ac:dyDescent="0.3">
      <c r="A20" s="15">
        <v>1978</v>
      </c>
      <c r="B20" s="9">
        <v>0.61299999999999999</v>
      </c>
      <c r="C20" s="9">
        <v>0.70760000000000001</v>
      </c>
      <c r="D20" s="9">
        <v>0.70760000000000001</v>
      </c>
      <c r="E20" s="9">
        <v>0.55300000000000005</v>
      </c>
    </row>
    <row r="21" spans="1:5" x14ac:dyDescent="0.3">
      <c r="A21" s="15">
        <v>1979</v>
      </c>
      <c r="B21" s="9">
        <v>0.70050000000000001</v>
      </c>
      <c r="C21" s="9">
        <v>1.0486</v>
      </c>
      <c r="D21" s="9">
        <v>1.1299999999999999</v>
      </c>
      <c r="E21" s="9">
        <v>0.70050000000000001</v>
      </c>
    </row>
    <row r="22" spans="1:5" x14ac:dyDescent="0.3">
      <c r="A22" s="15">
        <v>1980</v>
      </c>
      <c r="B22" s="9">
        <v>1.1020000000000001</v>
      </c>
      <c r="C22" s="9">
        <v>0.8599</v>
      </c>
      <c r="D22" s="9">
        <v>1.43</v>
      </c>
      <c r="E22" s="9">
        <v>0.78600000000000003</v>
      </c>
    </row>
    <row r="23" spans="1:5" x14ac:dyDescent="0.3">
      <c r="A23" s="15">
        <v>1981</v>
      </c>
      <c r="B23" s="9">
        <v>0.88</v>
      </c>
      <c r="C23" s="9">
        <v>0.75339999999999996</v>
      </c>
      <c r="D23" s="9">
        <v>0.90900000000000003</v>
      </c>
      <c r="E23" s="9">
        <v>0.70850000000000002</v>
      </c>
    </row>
    <row r="24" spans="1:5" x14ac:dyDescent="0.3">
      <c r="A24" s="15">
        <v>1982</v>
      </c>
      <c r="B24" s="9">
        <v>0.75900000000000001</v>
      </c>
      <c r="C24" s="9">
        <v>0.69389999999999996</v>
      </c>
      <c r="D24" s="9">
        <v>0.75900000000000001</v>
      </c>
      <c r="E24" s="9">
        <v>0.54400000000000004</v>
      </c>
    </row>
    <row r="25" spans="1:5" x14ac:dyDescent="0.3">
      <c r="A25" s="15">
        <v>1983</v>
      </c>
      <c r="B25" s="9">
        <v>0.71299999999999997</v>
      </c>
      <c r="C25" s="9">
        <v>0.66749999999999998</v>
      </c>
      <c r="D25" s="9">
        <v>0.81499999999999995</v>
      </c>
      <c r="E25" s="9">
        <v>0.61099999999999999</v>
      </c>
    </row>
    <row r="26" spans="1:5" x14ac:dyDescent="0.3">
      <c r="A26" s="15">
        <v>1984</v>
      </c>
      <c r="B26" s="9">
        <v>0.65949999999999998</v>
      </c>
      <c r="C26" s="9">
        <v>0.57040000000000002</v>
      </c>
      <c r="D26" s="9">
        <v>0.71750000000000003</v>
      </c>
      <c r="E26" s="9">
        <v>0.55100000000000005</v>
      </c>
    </row>
    <row r="27" spans="1:5" x14ac:dyDescent="0.3">
      <c r="A27" s="15">
        <v>1985</v>
      </c>
      <c r="B27" s="9">
        <v>0.56399999999999995</v>
      </c>
      <c r="C27" s="9">
        <v>0.64</v>
      </c>
      <c r="D27" s="9">
        <v>0.65900000000000003</v>
      </c>
      <c r="E27" s="9">
        <v>0.56399999999999995</v>
      </c>
    </row>
    <row r="28" spans="1:5" x14ac:dyDescent="0.3">
      <c r="A28" s="15">
        <v>1986</v>
      </c>
      <c r="B28" s="9">
        <v>0.64349999999999996</v>
      </c>
      <c r="C28" s="9">
        <v>0.61</v>
      </c>
      <c r="D28" s="9">
        <v>0.68600000000000005</v>
      </c>
      <c r="E28" s="9">
        <v>0.56950000000000001</v>
      </c>
    </row>
    <row r="29" spans="1:5" x14ac:dyDescent="0.3">
      <c r="A29" s="15">
        <v>1987</v>
      </c>
      <c r="B29" s="9">
        <v>0.61350000000000005</v>
      </c>
      <c r="C29" s="9">
        <v>1.3111999999999999</v>
      </c>
      <c r="D29" s="9">
        <v>1.37</v>
      </c>
      <c r="E29" s="9">
        <v>0.60199999999999998</v>
      </c>
    </row>
    <row r="30" spans="1:5" x14ac:dyDescent="0.3">
      <c r="A30" s="15">
        <v>1988</v>
      </c>
      <c r="B30" s="9">
        <v>1.2549999999999999</v>
      </c>
      <c r="C30" s="9">
        <v>1.387</v>
      </c>
      <c r="D30" s="9">
        <v>1.56</v>
      </c>
      <c r="E30" s="9">
        <v>0.85819999999999996</v>
      </c>
    </row>
    <row r="31" spans="1:5" x14ac:dyDescent="0.3">
      <c r="A31" s="15">
        <v>1989</v>
      </c>
      <c r="B31" s="9">
        <v>1.367</v>
      </c>
      <c r="C31" s="9">
        <v>1.0650999999999999</v>
      </c>
      <c r="D31" s="9">
        <v>1.4955000000000001</v>
      </c>
      <c r="E31" s="9">
        <v>0.98799999999999999</v>
      </c>
    </row>
    <row r="32" spans="1:5" x14ac:dyDescent="0.3">
      <c r="A32" s="15">
        <v>1990</v>
      </c>
      <c r="B32" s="9">
        <v>1.0620000000000001</v>
      </c>
      <c r="C32" s="9">
        <v>1.1714</v>
      </c>
      <c r="D32" s="9">
        <v>1.3354999999999999</v>
      </c>
      <c r="E32" s="9">
        <v>0.95650000000000002</v>
      </c>
    </row>
    <row r="33" spans="1:5" x14ac:dyDescent="0.3">
      <c r="A33" s="15">
        <v>1991</v>
      </c>
      <c r="B33" s="9">
        <v>1.1930000000000001</v>
      </c>
      <c r="C33" s="9">
        <v>0.9738</v>
      </c>
      <c r="D33" s="9">
        <v>1.1930000000000001</v>
      </c>
      <c r="E33" s="9">
        <v>0.96650000000000003</v>
      </c>
    </row>
    <row r="34" spans="1:5" x14ac:dyDescent="0.3">
      <c r="A34" s="15">
        <v>1992</v>
      </c>
      <c r="B34" s="9">
        <v>0.95699999999999996</v>
      </c>
      <c r="C34" s="9">
        <v>1.0344</v>
      </c>
      <c r="D34" s="9">
        <v>1.1635</v>
      </c>
      <c r="E34" s="9">
        <v>0.94350000000000001</v>
      </c>
    </row>
    <row r="35" spans="1:5" x14ac:dyDescent="0.3">
      <c r="A35" s="15">
        <v>1993</v>
      </c>
      <c r="B35" s="9">
        <v>1.0640000000000001</v>
      </c>
      <c r="C35" s="9">
        <v>0.83230000000000004</v>
      </c>
      <c r="D35" s="9">
        <v>1.0760000000000001</v>
      </c>
      <c r="E35" s="9">
        <v>0.72599999999999998</v>
      </c>
    </row>
    <row r="36" spans="1:5" x14ac:dyDescent="0.3">
      <c r="A36" s="15">
        <v>1994</v>
      </c>
      <c r="B36" s="9">
        <v>0.80249999999999999</v>
      </c>
      <c r="C36" s="9">
        <v>1.3895</v>
      </c>
      <c r="D36" s="9">
        <v>1.3895</v>
      </c>
      <c r="E36" s="9">
        <v>0.78600000000000003</v>
      </c>
    </row>
    <row r="37" spans="1:5" x14ac:dyDescent="0.3">
      <c r="A37" s="15">
        <v>1995</v>
      </c>
      <c r="B37" s="9">
        <v>1.337</v>
      </c>
      <c r="C37" s="9">
        <v>1.2165999999999999</v>
      </c>
      <c r="D37" s="9">
        <v>1.4575</v>
      </c>
      <c r="E37" s="9">
        <v>1.2110000000000001</v>
      </c>
    </row>
    <row r="38" spans="1:5" x14ac:dyDescent="0.3">
      <c r="A38" s="15">
        <v>1996</v>
      </c>
      <c r="B38" s="9">
        <v>1.181</v>
      </c>
      <c r="C38" s="9">
        <v>1.0077</v>
      </c>
      <c r="D38" s="9">
        <v>1.2555000000000001</v>
      </c>
      <c r="E38" s="9">
        <v>0.84370000000000001</v>
      </c>
    </row>
    <row r="39" spans="1:5" x14ac:dyDescent="0.3">
      <c r="A39" s="15">
        <v>1997</v>
      </c>
      <c r="B39" s="9">
        <v>1.0215000000000001</v>
      </c>
      <c r="C39" s="9">
        <v>0.77859999999999996</v>
      </c>
      <c r="D39" s="9">
        <v>1.222</v>
      </c>
      <c r="E39" s="9">
        <v>0.76980000000000004</v>
      </c>
    </row>
    <row r="40" spans="1:5" x14ac:dyDescent="0.3">
      <c r="A40" s="15">
        <v>1998</v>
      </c>
      <c r="B40" s="9">
        <v>0.77449999999999997</v>
      </c>
      <c r="C40" s="9">
        <v>0.67030000000000001</v>
      </c>
      <c r="D40" s="9">
        <v>0.85650000000000004</v>
      </c>
      <c r="E40" s="9">
        <v>0.65149999999999997</v>
      </c>
    </row>
    <row r="41" spans="1:5" x14ac:dyDescent="0.3">
      <c r="A41" s="15">
        <v>1999</v>
      </c>
      <c r="B41" s="9">
        <v>0.65400000000000003</v>
      </c>
      <c r="C41" s="9">
        <v>0.8609</v>
      </c>
      <c r="D41" s="9">
        <v>0.8609</v>
      </c>
      <c r="E41" s="9">
        <v>0.61350000000000005</v>
      </c>
    </row>
    <row r="42" spans="1:5" x14ac:dyDescent="0.3">
      <c r="A42" s="15">
        <v>2000</v>
      </c>
      <c r="B42" s="9">
        <v>0.84799999999999998</v>
      </c>
      <c r="C42" s="9">
        <v>0.84370000000000001</v>
      </c>
      <c r="D42" s="9">
        <v>0.93600000000000005</v>
      </c>
      <c r="E42" s="9">
        <v>0.74350000000000005</v>
      </c>
    </row>
    <row r="43" spans="1:5" x14ac:dyDescent="0.3">
      <c r="A43" s="15">
        <v>2001</v>
      </c>
      <c r="B43" s="9">
        <v>0.8115</v>
      </c>
      <c r="C43" s="9">
        <v>0.65780000000000005</v>
      </c>
      <c r="D43" s="9">
        <v>0.86150000000000004</v>
      </c>
      <c r="E43" s="9">
        <v>0.60599999999999998</v>
      </c>
    </row>
    <row r="44" spans="1:5" x14ac:dyDescent="0.3">
      <c r="A44" s="15">
        <v>2002</v>
      </c>
      <c r="B44" s="9">
        <v>0.65800000000000003</v>
      </c>
      <c r="C44" s="9">
        <v>0.70140000000000002</v>
      </c>
      <c r="D44" s="9">
        <v>0.78600000000000003</v>
      </c>
      <c r="E44" s="9">
        <v>0.65800000000000003</v>
      </c>
    </row>
    <row r="45" spans="1:5" x14ac:dyDescent="0.3">
      <c r="A45" s="15">
        <v>2003</v>
      </c>
      <c r="B45" s="9">
        <v>0.71799999999999997</v>
      </c>
      <c r="C45" s="9">
        <v>1.0449999999999999</v>
      </c>
      <c r="D45" s="9">
        <v>1.0449999999999999</v>
      </c>
      <c r="E45" s="9">
        <v>0.71099999999999997</v>
      </c>
    </row>
    <row r="46" spans="1:5" x14ac:dyDescent="0.3">
      <c r="A46" s="15">
        <v>2004</v>
      </c>
      <c r="B46" s="9">
        <v>1.087</v>
      </c>
      <c r="C46" s="9">
        <v>1.4594</v>
      </c>
      <c r="D46" s="9">
        <v>1.4758</v>
      </c>
      <c r="E46" s="9">
        <v>1.0665</v>
      </c>
    </row>
    <row r="47" spans="1:5" x14ac:dyDescent="0.3">
      <c r="A47" s="15">
        <v>2005</v>
      </c>
      <c r="B47" s="9">
        <v>1.4735</v>
      </c>
      <c r="C47" s="9">
        <v>2.0659000000000001</v>
      </c>
      <c r="D47" s="9">
        <v>2.1678999999999999</v>
      </c>
      <c r="E47" s="9">
        <v>1.343</v>
      </c>
    </row>
    <row r="48" spans="1:5" x14ac:dyDescent="0.3">
      <c r="A48" s="15">
        <v>2006</v>
      </c>
      <c r="B48" s="9">
        <v>2.0485000000000002</v>
      </c>
      <c r="C48" s="9">
        <v>2.8675999999999999</v>
      </c>
      <c r="D48" s="9">
        <v>3.923</v>
      </c>
      <c r="E48" s="9">
        <v>2.0485000000000002</v>
      </c>
    </row>
    <row r="49" spans="1:5" x14ac:dyDescent="0.3">
      <c r="A49" s="15">
        <v>2007</v>
      </c>
      <c r="B49" s="9">
        <v>2.649</v>
      </c>
      <c r="C49" s="9">
        <v>3.0388999999999999</v>
      </c>
      <c r="D49" s="9">
        <v>3.7635000000000001</v>
      </c>
      <c r="E49" s="9">
        <v>2.4165000000000001</v>
      </c>
    </row>
    <row r="50" spans="1:5" x14ac:dyDescent="0.3">
      <c r="A50" s="15">
        <v>2008</v>
      </c>
      <c r="B50" s="9">
        <v>3.0640000000000001</v>
      </c>
      <c r="C50" s="9">
        <v>1.407</v>
      </c>
      <c r="D50" s="9">
        <v>4.0635000000000003</v>
      </c>
      <c r="E50" s="9">
        <v>1.2595000000000001</v>
      </c>
    </row>
    <row r="51" spans="1:5" x14ac:dyDescent="0.3">
      <c r="A51" s="15">
        <v>2009</v>
      </c>
      <c r="B51" s="9">
        <v>1.4610000000000001</v>
      </c>
      <c r="C51" s="9">
        <v>3.3426999999999998</v>
      </c>
      <c r="D51" s="9">
        <v>3.3426999999999998</v>
      </c>
      <c r="E51" s="9">
        <v>1.3959999999999999</v>
      </c>
    </row>
    <row r="52" spans="1:5" x14ac:dyDescent="0.3">
      <c r="A52" s="15">
        <v>2010</v>
      </c>
      <c r="B52" s="9">
        <v>3.4060000000000001</v>
      </c>
      <c r="C52" s="9">
        <v>4.4455</v>
      </c>
      <c r="D52" s="9">
        <v>4.4455</v>
      </c>
      <c r="E52" s="9">
        <v>2.766</v>
      </c>
    </row>
    <row r="53" spans="1:5" x14ac:dyDescent="0.3">
      <c r="A53" s="15">
        <v>2011</v>
      </c>
      <c r="B53" s="9">
        <v>4.4574999999999996</v>
      </c>
      <c r="C53" s="9">
        <v>3.4350999999999998</v>
      </c>
      <c r="D53" s="9">
        <v>4.6284999999999998</v>
      </c>
      <c r="E53" s="9">
        <v>3.0575000000000001</v>
      </c>
    </row>
    <row r="54" spans="1:5" x14ac:dyDescent="0.3">
      <c r="A54" s="15">
        <v>2012</v>
      </c>
      <c r="B54" s="9">
        <v>3.5285000000000002</v>
      </c>
      <c r="C54" s="9">
        <v>3.6501999999999999</v>
      </c>
      <c r="D54" s="9">
        <v>3.9784999999999999</v>
      </c>
      <c r="E54" s="9">
        <v>3.2850000000000001</v>
      </c>
    </row>
    <row r="55" spans="1:5" x14ac:dyDescent="0.3">
      <c r="A55" s="15">
        <v>2013</v>
      </c>
      <c r="B55" s="9">
        <v>3.7360000000000002</v>
      </c>
      <c r="C55" s="9">
        <v>3.4055</v>
      </c>
      <c r="D55" s="9">
        <v>3.7845</v>
      </c>
      <c r="E55" s="9">
        <v>3.0245000000000002</v>
      </c>
    </row>
    <row r="56" spans="1:5" x14ac:dyDescent="0.3">
      <c r="A56" s="15">
        <v>2014</v>
      </c>
      <c r="B56" s="9">
        <v>3.3815</v>
      </c>
      <c r="C56" s="9">
        <v>2.8281000000000001</v>
      </c>
      <c r="D56" s="9">
        <v>3.3815</v>
      </c>
      <c r="E56" s="9">
        <v>2.8266</v>
      </c>
    </row>
    <row r="57" spans="1:5" x14ac:dyDescent="0.3">
      <c r="A57" s="15">
        <v>2015</v>
      </c>
      <c r="B57" s="9">
        <v>2.8174999999999999</v>
      </c>
      <c r="C57" s="9">
        <v>2.1331000000000002</v>
      </c>
      <c r="D57" s="9">
        <v>2.9350000000000001</v>
      </c>
      <c r="E57" s="9">
        <v>2.0209999999999999</v>
      </c>
    </row>
    <row r="58" spans="1:5" x14ac:dyDescent="0.3">
      <c r="A58" s="15">
        <v>2016</v>
      </c>
      <c r="B58" s="9">
        <v>2.0794999999999999</v>
      </c>
      <c r="C58" s="9">
        <v>2.5038999999999998</v>
      </c>
      <c r="D58" s="9">
        <v>2.6915</v>
      </c>
      <c r="E58" s="9">
        <v>1.9435</v>
      </c>
    </row>
    <row r="59" spans="1:5" x14ac:dyDescent="0.3">
      <c r="A59" s="15">
        <v>2017</v>
      </c>
      <c r="B59" s="9">
        <v>2.4889999999999999</v>
      </c>
      <c r="C59" s="9">
        <v>3.2963</v>
      </c>
      <c r="D59" s="9">
        <v>3.2995000000000001</v>
      </c>
      <c r="E59" s="9">
        <v>2.4889999999999999</v>
      </c>
    </row>
    <row r="60" spans="1:5" x14ac:dyDescent="0.3">
      <c r="A60" s="15">
        <v>2018</v>
      </c>
      <c r="B60" s="9">
        <v>3.278</v>
      </c>
      <c r="C60" s="9">
        <v>2.6303999999999998</v>
      </c>
      <c r="D60" s="9">
        <v>3.3</v>
      </c>
      <c r="E60" s="9">
        <v>2.56</v>
      </c>
    </row>
    <row r="61" spans="1:5" x14ac:dyDescent="0.3">
      <c r="A61" s="15">
        <v>2019</v>
      </c>
      <c r="B61" s="9">
        <v>2.6230000000000002</v>
      </c>
      <c r="C61" s="9">
        <v>2.7964000000000002</v>
      </c>
      <c r="D61" s="9">
        <v>2.9674999999999998</v>
      </c>
      <c r="E61" s="9">
        <v>2.528</v>
      </c>
    </row>
    <row r="62" spans="1:5" x14ac:dyDescent="0.3">
      <c r="A62" s="15">
        <v>2020</v>
      </c>
      <c r="B62" s="9">
        <v>2.8250000000000002</v>
      </c>
      <c r="C62" s="9">
        <v>3.5179999999999998</v>
      </c>
      <c r="D62" s="9">
        <v>3.6274999999999999</v>
      </c>
      <c r="E62" s="9">
        <v>2.1004999999999998</v>
      </c>
    </row>
    <row r="63" spans="1:5" x14ac:dyDescent="0.3">
      <c r="A63" s="15">
        <v>2021</v>
      </c>
      <c r="B63" s="9">
        <v>3.5545</v>
      </c>
      <c r="C63" s="9">
        <v>4.4618000000000002</v>
      </c>
      <c r="D63" s="9">
        <v>4.7619999999999996</v>
      </c>
      <c r="E63" s="9">
        <v>3.5245000000000002</v>
      </c>
    </row>
    <row r="64" spans="1:5" x14ac:dyDescent="0.3">
      <c r="A64" s="15">
        <v>2022</v>
      </c>
      <c r="B64" s="9">
        <v>4.4215</v>
      </c>
      <c r="C64" s="9">
        <v>3.8191999999999999</v>
      </c>
      <c r="D64" s="9">
        <v>4.9375</v>
      </c>
      <c r="E64" s="9">
        <v>3.2271999999999998</v>
      </c>
    </row>
    <row r="65" spans="1:5" x14ac:dyDescent="0.3">
      <c r="A65" s="15">
        <v>2023</v>
      </c>
      <c r="B65" s="9">
        <v>3.8191999999999999</v>
      </c>
      <c r="C65" s="9">
        <v>3.8912</v>
      </c>
      <c r="D65" s="9">
        <v>4.2864000000000004</v>
      </c>
      <c r="E65" s="9">
        <v>3.5728</v>
      </c>
    </row>
    <row r="66" spans="1:5" x14ac:dyDescent="0.3">
      <c r="A66" s="15">
        <v>2024</v>
      </c>
      <c r="B66" s="9">
        <v>3.8912</v>
      </c>
      <c r="C66" s="9">
        <v>4.4463999999999997</v>
      </c>
      <c r="D66" s="9">
        <v>5.1055999999999999</v>
      </c>
      <c r="E66" s="9">
        <v>3.6863999999999999</v>
      </c>
    </row>
    <row r="67" spans="1:5" x14ac:dyDescent="0.3">
      <c r="A67" s="15" t="s">
        <v>72</v>
      </c>
      <c r="B67" s="9">
        <v>1.4447415384615383</v>
      </c>
      <c r="C67" s="9">
        <v>1.5084538461538461</v>
      </c>
      <c r="D67" s="9">
        <v>1.7912384615384616</v>
      </c>
      <c r="E67" s="9">
        <v>1.2142892307692308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02D9-14D6-4578-80AC-560246FA8ABB}">
  <dimension ref="A1:I23"/>
  <sheetViews>
    <sheetView showGridLines="0" zoomScaleNormal="100" workbookViewId="0">
      <selection activeCell="J7" sqref="J7"/>
    </sheetView>
  </sheetViews>
  <sheetFormatPr defaultRowHeight="14.4" x14ac:dyDescent="0.3"/>
  <cols>
    <col min="1" max="1" width="14.88671875" bestFit="1" customWidth="1"/>
    <col min="2" max="2" width="19.33203125" bestFit="1" customWidth="1"/>
    <col min="3" max="3" width="18.44140625" bestFit="1" customWidth="1"/>
    <col min="4" max="4" width="16.109375" bestFit="1" customWidth="1"/>
    <col min="5" max="5" width="16" bestFit="1" customWidth="1"/>
    <col min="6" max="6" width="11.44140625" bestFit="1" customWidth="1"/>
    <col min="7" max="7" width="11.33203125" bestFit="1" customWidth="1"/>
    <col min="8" max="8" width="22.21875" bestFit="1" customWidth="1"/>
    <col min="9" max="9" width="15" bestFit="1" customWidth="1"/>
  </cols>
  <sheetData>
    <row r="1" spans="1:9" ht="14.4" customHeight="1" x14ac:dyDescent="0.3">
      <c r="A1" s="22" t="s">
        <v>613</v>
      </c>
      <c r="B1" s="22"/>
      <c r="C1" s="22"/>
      <c r="D1" s="22"/>
      <c r="E1" s="22"/>
      <c r="F1" s="22"/>
      <c r="G1" s="22"/>
      <c r="H1" s="22"/>
      <c r="I1" s="22"/>
    </row>
    <row r="2" spans="1:9" ht="14.4" customHeight="1" x14ac:dyDescent="0.3">
      <c r="A2" s="22"/>
      <c r="B2" s="22"/>
      <c r="C2" s="22"/>
      <c r="D2" s="22"/>
      <c r="E2" s="22"/>
      <c r="F2" s="22"/>
      <c r="G2" s="22"/>
      <c r="H2" s="22"/>
      <c r="I2" s="22"/>
    </row>
    <row r="12" spans="1:9" x14ac:dyDescent="0.3">
      <c r="A12" s="5" t="s">
        <v>612</v>
      </c>
      <c r="B12" s="6" t="s">
        <v>83</v>
      </c>
      <c r="C12" s="6" t="s">
        <v>84</v>
      </c>
      <c r="D12" s="6" t="s">
        <v>85</v>
      </c>
      <c r="E12" s="6" t="s">
        <v>86</v>
      </c>
      <c r="F12" s="6" t="s">
        <v>87</v>
      </c>
      <c r="G12" s="6" t="s">
        <v>88</v>
      </c>
      <c r="H12" s="6" t="s">
        <v>615</v>
      </c>
      <c r="I12" s="6" t="s">
        <v>89</v>
      </c>
    </row>
    <row r="13" spans="1:9" x14ac:dyDescent="0.3">
      <c r="A13" s="6" t="s">
        <v>73</v>
      </c>
      <c r="B13" s="10">
        <v>1.3096862745098039</v>
      </c>
      <c r="C13" s="10">
        <v>1.335478431372549</v>
      </c>
      <c r="D13" s="10">
        <v>1.7069901960784313</v>
      </c>
      <c r="E13" s="10">
        <v>0.94698627450980399</v>
      </c>
      <c r="F13" s="10">
        <v>3.3563000000000001</v>
      </c>
      <c r="G13" s="10">
        <v>1.6799999999999999E-2</v>
      </c>
      <c r="H13" s="10">
        <v>1.3247823529411766</v>
      </c>
      <c r="I13" s="12">
        <v>0.23043190046402515</v>
      </c>
    </row>
    <row r="14" spans="1:9" x14ac:dyDescent="0.3">
      <c r="A14" s="6" t="s">
        <v>82</v>
      </c>
      <c r="B14" s="10">
        <v>1.4447415384615383</v>
      </c>
      <c r="C14" s="10">
        <v>1.5084538461538461</v>
      </c>
      <c r="D14" s="10">
        <v>1.7912384615384616</v>
      </c>
      <c r="E14" s="10">
        <v>1.2142892307692308</v>
      </c>
      <c r="F14" s="10">
        <v>5.1055999999999999</v>
      </c>
      <c r="G14" s="10">
        <v>0.26719999999999999</v>
      </c>
      <c r="H14" s="10">
        <v>1.4896830769230771</v>
      </c>
      <c r="I14" s="12">
        <v>0.14663856907894743</v>
      </c>
    </row>
    <row r="15" spans="1:9" x14ac:dyDescent="0.3">
      <c r="A15" s="6" t="s">
        <v>80</v>
      </c>
      <c r="B15" s="10">
        <v>2.8686215384615386</v>
      </c>
      <c r="C15" s="10">
        <v>2.9195061538461538</v>
      </c>
      <c r="D15" s="10">
        <v>3.5211738461538458</v>
      </c>
      <c r="E15" s="10">
        <v>2.407793846153846</v>
      </c>
      <c r="F15" s="10">
        <v>8.3125</v>
      </c>
      <c r="G15" s="10">
        <v>1.0069999999999999</v>
      </c>
      <c r="H15" s="10">
        <v>2.9292769230769231</v>
      </c>
      <c r="I15" s="12">
        <v>0.48327137546468413</v>
      </c>
    </row>
    <row r="16" spans="1:9" x14ac:dyDescent="0.3">
      <c r="A16" s="6" t="s">
        <v>75</v>
      </c>
      <c r="B16" s="10">
        <v>0.69133653846153842</v>
      </c>
      <c r="C16" s="10">
        <v>0.70014230769230779</v>
      </c>
      <c r="D16" s="10">
        <v>0.86497115384615375</v>
      </c>
      <c r="E16" s="10">
        <v>0.56416346153846153</v>
      </c>
      <c r="F16" s="10">
        <v>2.1414</v>
      </c>
      <c r="G16" s="10">
        <v>0.28520000000000001</v>
      </c>
      <c r="H16" s="10">
        <v>0.70515576923076928</v>
      </c>
      <c r="I16" s="12">
        <v>0.78777777777777758</v>
      </c>
    </row>
    <row r="17" spans="1:9" x14ac:dyDescent="0.3">
      <c r="A17" s="6" t="s">
        <v>74</v>
      </c>
      <c r="B17" s="10">
        <v>2.9174423076923075</v>
      </c>
      <c r="C17" s="10">
        <v>2.9896500000000001</v>
      </c>
      <c r="D17" s="10">
        <v>3.7847423076923077</v>
      </c>
      <c r="E17" s="10">
        <v>2.2114384615384615</v>
      </c>
      <c r="F17" s="10">
        <v>16.704999999999998</v>
      </c>
      <c r="G17" s="10">
        <v>0.96499999999999997</v>
      </c>
      <c r="H17" s="10">
        <v>2.9758153846153848</v>
      </c>
      <c r="I17" s="12">
        <v>1.1027573529411763</v>
      </c>
    </row>
    <row r="18" spans="1:9" x14ac:dyDescent="0.3">
      <c r="A18" s="6" t="s">
        <v>76</v>
      </c>
      <c r="B18" s="10">
        <v>2.1104814814814814</v>
      </c>
      <c r="C18" s="10">
        <v>2.1593981481481483</v>
      </c>
      <c r="D18" s="10">
        <v>2.6790833333333333</v>
      </c>
      <c r="E18" s="10">
        <v>1.6687129629629629</v>
      </c>
      <c r="F18" s="10">
        <v>8.07</v>
      </c>
      <c r="G18" s="10">
        <v>0.63100000000000001</v>
      </c>
      <c r="H18" s="10">
        <v>2.1544222222222222</v>
      </c>
      <c r="I18" s="12">
        <v>0.76030927835051554</v>
      </c>
    </row>
    <row r="19" spans="1:9" x14ac:dyDescent="0.3">
      <c r="A19" s="6" t="s">
        <v>77</v>
      </c>
      <c r="B19" s="10">
        <v>7.573305357142857</v>
      </c>
      <c r="C19" s="10">
        <v>7.7264874999999993</v>
      </c>
      <c r="D19" s="10">
        <v>9.3695232142857154</v>
      </c>
      <c r="E19" s="10">
        <v>6.498875</v>
      </c>
      <c r="F19" s="10">
        <v>17.690000000000001</v>
      </c>
      <c r="G19" s="10">
        <v>2.375</v>
      </c>
      <c r="H19" s="10">
        <v>7.7920517857142855</v>
      </c>
      <c r="I19" s="12">
        <v>0.16795665634674922</v>
      </c>
    </row>
    <row r="20" spans="1:9" x14ac:dyDescent="0.3">
      <c r="A20" s="6" t="s">
        <v>78</v>
      </c>
      <c r="B20" s="10">
        <v>0.26015624999999998</v>
      </c>
      <c r="C20" s="10">
        <v>0.27406249999999999</v>
      </c>
      <c r="D20" s="10">
        <v>0.33</v>
      </c>
      <c r="E20" s="10">
        <v>0.2225</v>
      </c>
      <c r="F20" s="10">
        <v>0.93</v>
      </c>
      <c r="G20" s="10">
        <v>7.0000000000000007E-2</v>
      </c>
      <c r="H20" s="10">
        <v>0.27167968749999999</v>
      </c>
      <c r="I20" s="12">
        <v>0.12643678160919539</v>
      </c>
    </row>
    <row r="21" spans="1:9" x14ac:dyDescent="0.3">
      <c r="A21" s="6" t="s">
        <v>79</v>
      </c>
      <c r="B21" s="10">
        <v>0.12078225806451613</v>
      </c>
      <c r="C21" s="10">
        <v>0.1232983870967742</v>
      </c>
      <c r="D21" s="10">
        <v>0.16237903225806452</v>
      </c>
      <c r="E21" s="10">
        <v>8.6411290322580644E-2</v>
      </c>
      <c r="F21" s="10">
        <v>0.65200000000000002</v>
      </c>
      <c r="G21" s="10">
        <v>1.2500000000000001E-2</v>
      </c>
      <c r="H21" s="10">
        <v>0.12321612903225806</v>
      </c>
      <c r="I21" s="12">
        <v>1.3035627135187897</v>
      </c>
    </row>
    <row r="22" spans="1:9" x14ac:dyDescent="0.3">
      <c r="A22" s="6" t="s">
        <v>81</v>
      </c>
      <c r="B22" s="10">
        <v>3.9621646153846157</v>
      </c>
      <c r="C22" s="10">
        <v>4.0383984615384616</v>
      </c>
      <c r="D22" s="10">
        <v>4.8344030769230768</v>
      </c>
      <c r="E22" s="10">
        <v>3.2164969230769231</v>
      </c>
      <c r="F22" s="10">
        <v>12.94</v>
      </c>
      <c r="G22" s="10">
        <v>1.171</v>
      </c>
      <c r="H22" s="10">
        <v>4.0128661538461534</v>
      </c>
      <c r="I22" s="12">
        <v>0.33869882975384485</v>
      </c>
    </row>
    <row r="23" spans="1:9" x14ac:dyDescent="0.3">
      <c r="A23" s="6" t="s">
        <v>72</v>
      </c>
      <c r="B23" s="10">
        <v>2.3115518771331058</v>
      </c>
      <c r="C23" s="10">
        <v>2.3630839590443684</v>
      </c>
      <c r="D23" s="10">
        <v>2.8821431740614334</v>
      </c>
      <c r="E23" s="10">
        <v>1.8955295221843003</v>
      </c>
      <c r="F23" s="10">
        <v>17.690000000000001</v>
      </c>
      <c r="G23" s="10">
        <v>1.2500000000000001E-2</v>
      </c>
      <c r="H23" s="10">
        <v>2.3630779863481228</v>
      </c>
      <c r="I23" s="12">
        <v>0.16795665634674922</v>
      </c>
    </row>
  </sheetData>
  <mergeCells count="1">
    <mergeCell ref="A1:I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ECC8-D5AE-42F2-B09E-841F1DCA0DBF}">
  <dimension ref="A1:G7"/>
  <sheetViews>
    <sheetView workbookViewId="0">
      <selection activeCell="F1" sqref="F1"/>
    </sheetView>
  </sheetViews>
  <sheetFormatPr defaultRowHeight="14.4" x14ac:dyDescent="0.3"/>
  <cols>
    <col min="1" max="1" width="12.5546875" bestFit="1" customWidth="1"/>
    <col min="2" max="2" width="23.109375" bestFit="1" customWidth="1"/>
    <col min="3" max="3" width="11.77734375" bestFit="1" customWidth="1"/>
    <col min="4" max="4" width="11.44140625" bestFit="1" customWidth="1"/>
    <col min="5" max="5" width="23.109375" bestFit="1" customWidth="1"/>
    <col min="6" max="6" width="14.33203125" bestFit="1" customWidth="1"/>
    <col min="7" max="7" width="23.33203125" bestFit="1" customWidth="1"/>
  </cols>
  <sheetData>
    <row r="1" spans="1:7" x14ac:dyDescent="0.3">
      <c r="A1" s="8" t="s">
        <v>617</v>
      </c>
      <c r="B1" t="s">
        <v>615</v>
      </c>
      <c r="F1" s="8" t="s">
        <v>623</v>
      </c>
      <c r="G1" t="s">
        <v>622</v>
      </c>
    </row>
    <row r="2" spans="1:7" x14ac:dyDescent="0.3">
      <c r="A2" s="15" t="s">
        <v>77</v>
      </c>
      <c r="B2" s="9">
        <v>7.7920517857142855</v>
      </c>
      <c r="F2" s="15" t="s">
        <v>79</v>
      </c>
      <c r="G2" s="13">
        <v>0.13861774193548387</v>
      </c>
    </row>
    <row r="3" spans="1:7" x14ac:dyDescent="0.3">
      <c r="A3" s="15" t="s">
        <v>81</v>
      </c>
      <c r="B3" s="9">
        <v>4.0128661538461534</v>
      </c>
      <c r="F3" s="15" t="s">
        <v>73</v>
      </c>
      <c r="G3" s="13">
        <v>9.1409803921568625E-2</v>
      </c>
    </row>
    <row r="4" spans="1:7" x14ac:dyDescent="0.3">
      <c r="A4" s="15" t="s">
        <v>74</v>
      </c>
      <c r="B4" s="9">
        <v>2.9758153846153848</v>
      </c>
      <c r="F4" s="15" t="s">
        <v>82</v>
      </c>
      <c r="G4" s="13">
        <v>8.4229230769230765E-2</v>
      </c>
    </row>
    <row r="5" spans="1:7" x14ac:dyDescent="0.3">
      <c r="A5" s="15" t="s">
        <v>80</v>
      </c>
      <c r="B5" s="9">
        <v>2.9292769230769231</v>
      </c>
      <c r="F5" s="15" t="s">
        <v>78</v>
      </c>
      <c r="G5" s="13">
        <v>7.3374999999999996E-2</v>
      </c>
    </row>
    <row r="6" spans="1:7" x14ac:dyDescent="0.3">
      <c r="A6" s="15" t="s">
        <v>76</v>
      </c>
      <c r="B6" s="9">
        <v>2.1544222222222222</v>
      </c>
      <c r="F6" s="15" t="s">
        <v>76</v>
      </c>
      <c r="G6" s="13">
        <v>6.5946296296296295E-2</v>
      </c>
    </row>
    <row r="7" spans="1:7" x14ac:dyDescent="0.3">
      <c r="A7" s="15" t="s">
        <v>72</v>
      </c>
      <c r="B7" s="9">
        <v>3.9680664383561646</v>
      </c>
      <c r="F7" s="15" t="s">
        <v>72</v>
      </c>
      <c r="G7" s="13">
        <v>9.1176351351351353E-2</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F630-9AE5-441E-BE3A-0D01583F19B5}">
  <dimension ref="A1:I8"/>
  <sheetViews>
    <sheetView workbookViewId="0">
      <selection activeCell="H3" sqref="H3"/>
    </sheetView>
  </sheetViews>
  <sheetFormatPr defaultRowHeight="14.4" x14ac:dyDescent="0.3"/>
  <cols>
    <col min="1" max="1" width="16.88671875" bestFit="1" customWidth="1"/>
    <col min="2" max="3" width="10.109375" bestFit="1" customWidth="1"/>
    <col min="4" max="4" width="15.77734375" bestFit="1" customWidth="1"/>
    <col min="5" max="5" width="23.33203125" bestFit="1" customWidth="1"/>
    <col min="6" max="6" width="12.109375" bestFit="1" customWidth="1"/>
    <col min="7" max="7" width="12" bestFit="1" customWidth="1"/>
    <col min="8" max="8" width="11.44140625" bestFit="1" customWidth="1"/>
    <col min="9" max="9" width="11.77734375" bestFit="1" customWidth="1"/>
  </cols>
  <sheetData>
    <row r="1" spans="1:9" x14ac:dyDescent="0.3">
      <c r="A1" s="23" t="s">
        <v>635</v>
      </c>
      <c r="B1" s="23"/>
      <c r="C1" s="23"/>
      <c r="D1" s="23"/>
      <c r="E1" s="23"/>
      <c r="F1" s="23"/>
      <c r="G1" s="23"/>
    </row>
    <row r="2" spans="1:9" x14ac:dyDescent="0.3">
      <c r="A2" t="s">
        <v>83</v>
      </c>
      <c r="B2" t="s">
        <v>84</v>
      </c>
      <c r="C2" t="s">
        <v>85</v>
      </c>
      <c r="D2" t="s">
        <v>86</v>
      </c>
      <c r="E2" t="s">
        <v>615</v>
      </c>
      <c r="F2" t="s">
        <v>89</v>
      </c>
      <c r="G2" t="s">
        <v>631</v>
      </c>
      <c r="H2" t="s">
        <v>88</v>
      </c>
      <c r="I2" t="s">
        <v>87</v>
      </c>
    </row>
    <row r="3" spans="1:9" x14ac:dyDescent="0.3">
      <c r="A3" s="9">
        <v>1.4447415384615383</v>
      </c>
      <c r="B3" s="9">
        <v>1.5084538461538461</v>
      </c>
      <c r="C3" s="9">
        <v>1.7912384615384616</v>
      </c>
      <c r="D3" s="9">
        <v>1.2142892307692308</v>
      </c>
      <c r="E3" s="9">
        <v>1.4896830769230771</v>
      </c>
      <c r="F3" s="11">
        <v>0.14663856907894743</v>
      </c>
      <c r="G3" s="13">
        <v>0.38449982896839419</v>
      </c>
      <c r="H3" s="9">
        <v>0.26719999999999999</v>
      </c>
      <c r="I3" s="9">
        <v>5.1055999999999999</v>
      </c>
    </row>
    <row r="6" spans="1:9" x14ac:dyDescent="0.3">
      <c r="A6" s="23" t="s">
        <v>634</v>
      </c>
      <c r="B6" s="23"/>
      <c r="C6" s="23"/>
      <c r="D6" s="23"/>
      <c r="E6" s="23"/>
      <c r="F6" s="23"/>
      <c r="G6" s="23"/>
    </row>
    <row r="7" spans="1:9" x14ac:dyDescent="0.3">
      <c r="A7" t="s">
        <v>616</v>
      </c>
      <c r="B7" t="s">
        <v>626</v>
      </c>
      <c r="C7" t="s">
        <v>624</v>
      </c>
      <c r="D7" t="s">
        <v>89</v>
      </c>
      <c r="E7" t="s">
        <v>622</v>
      </c>
      <c r="F7" t="s">
        <v>627</v>
      </c>
      <c r="G7" t="s">
        <v>628</v>
      </c>
    </row>
    <row r="8" spans="1:9" x14ac:dyDescent="0.3">
      <c r="A8" s="1">
        <v>10</v>
      </c>
      <c r="B8" s="1">
        <v>65</v>
      </c>
      <c r="C8" s="1">
        <v>2024</v>
      </c>
      <c r="D8" s="11">
        <v>0.16795665634674922</v>
      </c>
      <c r="E8" s="13">
        <v>7.3188054607508532E-2</v>
      </c>
      <c r="F8" s="1">
        <v>40</v>
      </c>
      <c r="G8" s="1">
        <v>25</v>
      </c>
    </row>
  </sheetData>
  <mergeCells count="2">
    <mergeCell ref="A6:G6"/>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5ED6-51E9-431C-BC61-AF24C3430D13}">
  <dimension ref="A1:B13"/>
  <sheetViews>
    <sheetView workbookViewId="0">
      <selection activeCell="H23" sqref="H23"/>
    </sheetView>
  </sheetViews>
  <sheetFormatPr defaultRowHeight="14.4" x14ac:dyDescent="0.3"/>
  <cols>
    <col min="1" max="1" width="10.77734375" bestFit="1" customWidth="1"/>
    <col min="2" max="2" width="23.109375" bestFit="1" customWidth="1"/>
    <col min="12" max="12" width="14.88671875" bestFit="1" customWidth="1"/>
    <col min="13" max="13" width="7" bestFit="1" customWidth="1"/>
    <col min="14" max="14" width="14.109375" bestFit="1" customWidth="1"/>
  </cols>
  <sheetData>
    <row r="1" spans="1:2" x14ac:dyDescent="0.3">
      <c r="A1" s="8" t="s">
        <v>1</v>
      </c>
      <c r="B1" t="s">
        <v>615</v>
      </c>
    </row>
    <row r="2" spans="1:2" x14ac:dyDescent="0.3">
      <c r="A2" s="15">
        <v>2014</v>
      </c>
      <c r="B2" s="7">
        <v>3.4872799999999997</v>
      </c>
    </row>
    <row r="3" spans="1:2" x14ac:dyDescent="0.3">
      <c r="A3" s="15">
        <v>2015</v>
      </c>
      <c r="B3" s="7">
        <v>2.9061699999999999</v>
      </c>
    </row>
    <row r="4" spans="1:2" x14ac:dyDescent="0.3">
      <c r="A4" s="15">
        <v>2016</v>
      </c>
      <c r="B4" s="7">
        <v>2.76152</v>
      </c>
    </row>
    <row r="5" spans="1:2" x14ac:dyDescent="0.3">
      <c r="A5" s="15">
        <v>2017</v>
      </c>
      <c r="B5" s="7">
        <v>2.97811</v>
      </c>
    </row>
    <row r="6" spans="1:2" x14ac:dyDescent="0.3">
      <c r="A6" s="15">
        <v>2018</v>
      </c>
      <c r="B6" s="7">
        <v>3.0133299999999998</v>
      </c>
    </row>
    <row r="7" spans="1:2" x14ac:dyDescent="0.3">
      <c r="A7" s="15">
        <v>2019</v>
      </c>
      <c r="B7" s="7">
        <v>2.96713</v>
      </c>
    </row>
    <row r="8" spans="1:2" x14ac:dyDescent="0.3">
      <c r="A8" s="15">
        <v>2020</v>
      </c>
      <c r="B8" s="7">
        <v>3.5362099999999996</v>
      </c>
    </row>
    <row r="9" spans="1:2" x14ac:dyDescent="0.3">
      <c r="A9" s="15">
        <v>2021</v>
      </c>
      <c r="B9" s="7">
        <v>4.9468699999999997</v>
      </c>
    </row>
    <row r="10" spans="1:2" x14ac:dyDescent="0.3">
      <c r="A10" s="15">
        <v>2022</v>
      </c>
      <c r="B10" s="7">
        <v>5.2301900000000003</v>
      </c>
    </row>
    <row r="11" spans="1:2" x14ac:dyDescent="0.3">
      <c r="A11" s="15">
        <v>2023</v>
      </c>
      <c r="B11" s="7">
        <v>4.3062199999999997</v>
      </c>
    </row>
    <row r="12" spans="1:2" x14ac:dyDescent="0.3">
      <c r="A12" s="15">
        <v>2024</v>
      </c>
      <c r="B12" s="7">
        <v>4.0405800000000003</v>
      </c>
    </row>
    <row r="13" spans="1:2" x14ac:dyDescent="0.3">
      <c r="A13" s="15" t="s">
        <v>72</v>
      </c>
      <c r="B13" s="7">
        <v>3.6521463636363638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35A3-C965-4502-AB74-45EF1A6BB69A}">
  <dimension ref="A1:B2"/>
  <sheetViews>
    <sheetView workbookViewId="0"/>
  </sheetViews>
  <sheetFormatPr defaultRowHeight="14.4" x14ac:dyDescent="0.3"/>
  <cols>
    <col min="1" max="1" width="14.109375" bestFit="1" customWidth="1"/>
    <col min="2" max="2" width="14" bestFit="1" customWidth="1"/>
    <col min="3" max="3" width="11.109375" bestFit="1" customWidth="1"/>
    <col min="4" max="4" width="7" bestFit="1" customWidth="1"/>
    <col min="5" max="5" width="6.77734375" bestFit="1" customWidth="1"/>
    <col min="6" max="6" width="7.44140625" bestFit="1" customWidth="1"/>
    <col min="7" max="7" width="6" bestFit="1" customWidth="1"/>
    <col min="8" max="8" width="8.33203125" bestFit="1" customWidth="1"/>
    <col min="9" max="9" width="11" bestFit="1" customWidth="1"/>
    <col min="10" max="11" width="7" bestFit="1" customWidth="1"/>
    <col min="12" max="12" width="10.77734375" bestFit="1" customWidth="1"/>
  </cols>
  <sheetData>
    <row r="1" spans="1:2" x14ac:dyDescent="0.3">
      <c r="A1" t="s">
        <v>629</v>
      </c>
      <c r="B1" t="s">
        <v>630</v>
      </c>
    </row>
    <row r="2" spans="1:2" x14ac:dyDescent="0.3">
      <c r="A2" s="13">
        <v>0.61538461538461542</v>
      </c>
      <c r="B2" s="13">
        <v>0.38461538461538464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0D86-E073-4DD0-BA69-C9AA459A06FD}">
  <dimension ref="A1:Q587"/>
  <sheetViews>
    <sheetView workbookViewId="0">
      <selection activeCell="N3" sqref="N3"/>
    </sheetView>
  </sheetViews>
  <sheetFormatPr defaultRowHeight="14.4" x14ac:dyDescent="0.3"/>
  <cols>
    <col min="1" max="1" width="4.88671875" bestFit="1" customWidth="1"/>
    <col min="2" max="2" width="14.33203125" bestFit="1" customWidth="1"/>
    <col min="3" max="3" width="6.88671875" bestFit="1" customWidth="1"/>
    <col min="4" max="4" width="22.44140625" style="7" bestFit="1" customWidth="1"/>
    <col min="5" max="5" width="12.44140625" style="7" bestFit="1" customWidth="1"/>
    <col min="6" max="6" width="11.6640625" style="7" bestFit="1" customWidth="1"/>
    <col min="7" max="7" width="11.33203125" style="7" bestFit="1" customWidth="1"/>
    <col min="8" max="8" width="12.33203125" style="7" bestFit="1" customWidth="1"/>
    <col min="9" max="9" width="16.6640625" style="7" bestFit="1" customWidth="1"/>
    <col min="10" max="11" width="15.109375" style="2" bestFit="1" customWidth="1"/>
    <col min="12" max="12" width="16.88671875" style="2" bestFit="1" customWidth="1"/>
    <col min="13" max="13" width="16.88671875" style="2" customWidth="1"/>
    <col min="14" max="14" width="16.88671875" style="4" bestFit="1" customWidth="1"/>
    <col min="15" max="15" width="20.77734375" style="2" bestFit="1" customWidth="1"/>
    <col min="16" max="16" width="14.44140625" style="7" bestFit="1" customWidth="1"/>
    <col min="17" max="17" width="14.44140625" style="4" bestFit="1" customWidth="1"/>
  </cols>
  <sheetData>
    <row r="1" spans="1:17" x14ac:dyDescent="0.3">
      <c r="A1" t="s">
        <v>0</v>
      </c>
      <c r="B1" t="s">
        <v>623</v>
      </c>
      <c r="C1" t="s">
        <v>1</v>
      </c>
      <c r="D1" s="7" t="s">
        <v>2</v>
      </c>
      <c r="E1" s="7" t="s">
        <v>3</v>
      </c>
      <c r="F1" s="7" t="s">
        <v>4</v>
      </c>
      <c r="G1" s="7" t="s">
        <v>5</v>
      </c>
      <c r="H1" s="7" t="s">
        <v>6</v>
      </c>
      <c r="I1" s="4" t="s">
        <v>7</v>
      </c>
      <c r="J1" s="2" t="s">
        <v>614</v>
      </c>
      <c r="K1" t="s">
        <v>618</v>
      </c>
      <c r="L1" s="4" t="s">
        <v>621</v>
      </c>
      <c r="M1"/>
      <c r="N1"/>
      <c r="O1"/>
      <c r="P1"/>
      <c r="Q1"/>
    </row>
    <row r="2" spans="1:17" x14ac:dyDescent="0.3">
      <c r="A2" s="1" t="s">
        <v>58</v>
      </c>
      <c r="B2" s="1" t="s">
        <v>73</v>
      </c>
      <c r="C2">
        <v>1974</v>
      </c>
      <c r="D2" s="7">
        <v>0.67020000000000002</v>
      </c>
      <c r="E2" s="7">
        <v>0.68899999999999995</v>
      </c>
      <c r="F2" s="7">
        <v>0.78800000000000003</v>
      </c>
      <c r="G2" s="7">
        <v>0.50170000000000003</v>
      </c>
      <c r="H2" s="7">
        <v>0.59619999999999995</v>
      </c>
      <c r="I2" s="4">
        <v>-0.1154</v>
      </c>
      <c r="J2" s="2">
        <v>0.64370000000000005</v>
      </c>
      <c r="K2" s="1" t="s">
        <v>620</v>
      </c>
      <c r="L2" s="4">
        <v>0.42718591465234301</v>
      </c>
      <c r="M2"/>
      <c r="N2"/>
      <c r="O2"/>
      <c r="P2"/>
      <c r="Q2"/>
    </row>
    <row r="3" spans="1:17" x14ac:dyDescent="0.3">
      <c r="A3" s="1" t="s">
        <v>57</v>
      </c>
      <c r="B3" s="1" t="s">
        <v>73</v>
      </c>
      <c r="C3">
        <v>1975</v>
      </c>
      <c r="D3" s="7">
        <v>0.65649999999999997</v>
      </c>
      <c r="E3" s="7">
        <v>0.59589999999999999</v>
      </c>
      <c r="F3" s="7">
        <v>0.879</v>
      </c>
      <c r="G3" s="7">
        <v>0.46300000000000002</v>
      </c>
      <c r="H3" s="7">
        <v>0.87250000000000005</v>
      </c>
      <c r="I3" s="4">
        <v>0.46339999999999998</v>
      </c>
      <c r="J3" s="2">
        <v>0.7026</v>
      </c>
      <c r="K3" s="1" t="s">
        <v>619</v>
      </c>
      <c r="L3" s="4">
        <v>0.633663366336634</v>
      </c>
      <c r="M3"/>
      <c r="N3"/>
      <c r="O3"/>
      <c r="P3"/>
      <c r="Q3"/>
    </row>
    <row r="4" spans="1:17" x14ac:dyDescent="0.3">
      <c r="A4" s="1" t="s">
        <v>56</v>
      </c>
      <c r="B4" s="1" t="s">
        <v>73</v>
      </c>
      <c r="C4">
        <v>1976</v>
      </c>
      <c r="D4" s="7">
        <v>1.4249000000000001</v>
      </c>
      <c r="E4" s="7">
        <v>0.871</v>
      </c>
      <c r="F4" s="7">
        <v>2.2444999999999999</v>
      </c>
      <c r="G4" s="7">
        <v>0.86899999999999999</v>
      </c>
      <c r="H4" s="7">
        <v>2.2444999999999999</v>
      </c>
      <c r="I4" s="4">
        <v>1.5725</v>
      </c>
      <c r="J4" s="2">
        <v>1.5571999999999999</v>
      </c>
      <c r="K4" s="1" t="s">
        <v>619</v>
      </c>
      <c r="L4" s="4">
        <v>0.965330900414064</v>
      </c>
      <c r="M4"/>
      <c r="N4"/>
      <c r="O4"/>
      <c r="P4"/>
      <c r="Q4"/>
    </row>
    <row r="5" spans="1:17" x14ac:dyDescent="0.3">
      <c r="A5" s="1" t="s">
        <v>55</v>
      </c>
      <c r="B5" s="1" t="s">
        <v>73</v>
      </c>
      <c r="C5">
        <v>1977</v>
      </c>
      <c r="D5" s="7">
        <v>2.3166000000000002</v>
      </c>
      <c r="E5" s="7">
        <v>2.2856000000000001</v>
      </c>
      <c r="F5" s="7">
        <v>3.3563000000000001</v>
      </c>
      <c r="G5" s="7">
        <v>1.4905999999999999</v>
      </c>
      <c r="H5" s="7">
        <v>1.9202999999999999</v>
      </c>
      <c r="I5" s="4">
        <v>-0.1444</v>
      </c>
      <c r="J5" s="2">
        <v>2.2631999999999999</v>
      </c>
      <c r="K5" s="1" t="s">
        <v>620</v>
      </c>
      <c r="L5" s="4">
        <v>0.80536130536130501</v>
      </c>
      <c r="M5"/>
      <c r="N5"/>
      <c r="O5"/>
      <c r="P5"/>
      <c r="Q5"/>
    </row>
    <row r="6" spans="1:17" x14ac:dyDescent="0.3">
      <c r="A6" s="1" t="s">
        <v>54</v>
      </c>
      <c r="B6" s="1" t="s">
        <v>73</v>
      </c>
      <c r="C6">
        <v>1978</v>
      </c>
      <c r="D6" s="7">
        <v>1.5637000000000001</v>
      </c>
      <c r="E6" s="7">
        <v>1.9517</v>
      </c>
      <c r="F6" s="7">
        <v>2.0125000000000002</v>
      </c>
      <c r="G6" s="7">
        <v>1.0900000000000001</v>
      </c>
      <c r="H6" s="7">
        <v>1.3288</v>
      </c>
      <c r="I6" s="4">
        <v>-0.308</v>
      </c>
      <c r="J6" s="2">
        <v>1.5958000000000001</v>
      </c>
      <c r="K6" s="1" t="s">
        <v>620</v>
      </c>
      <c r="L6" s="4">
        <v>0.589946920764853</v>
      </c>
      <c r="M6"/>
      <c r="N6"/>
      <c r="O6"/>
      <c r="P6"/>
      <c r="Q6"/>
    </row>
    <row r="7" spans="1:17" x14ac:dyDescent="0.3">
      <c r="A7" s="1" t="s">
        <v>53</v>
      </c>
      <c r="B7" s="1" t="s">
        <v>73</v>
      </c>
      <c r="C7">
        <v>1979</v>
      </c>
      <c r="D7" s="7">
        <v>1.7763</v>
      </c>
      <c r="E7" s="7">
        <v>1.3496999999999999</v>
      </c>
      <c r="F7" s="7">
        <v>2.2027000000000001</v>
      </c>
      <c r="G7" s="7">
        <v>1.2224999999999999</v>
      </c>
      <c r="H7" s="7">
        <v>1.8154999999999999</v>
      </c>
      <c r="I7" s="4">
        <v>0.36630000000000001</v>
      </c>
      <c r="J7" s="2">
        <v>1.6476</v>
      </c>
      <c r="K7" s="1" t="s">
        <v>619</v>
      </c>
      <c r="L7" s="4">
        <v>0.55182120137364199</v>
      </c>
      <c r="M7"/>
      <c r="N7"/>
      <c r="O7"/>
      <c r="P7"/>
      <c r="Q7"/>
    </row>
    <row r="8" spans="1:17" x14ac:dyDescent="0.3">
      <c r="A8" s="1" t="s">
        <v>52</v>
      </c>
      <c r="B8" s="1" t="s">
        <v>73</v>
      </c>
      <c r="C8">
        <v>1980</v>
      </c>
      <c r="D8" s="7">
        <v>1.5841000000000001</v>
      </c>
      <c r="E8" s="7">
        <v>1.776</v>
      </c>
      <c r="F8" s="7">
        <v>2.0305</v>
      </c>
      <c r="G8" s="7">
        <v>1.0409999999999999</v>
      </c>
      <c r="H8" s="7">
        <v>1.268</v>
      </c>
      <c r="I8" s="4">
        <v>-0.30159999999999998</v>
      </c>
      <c r="J8" s="2">
        <v>1.5288999999999999</v>
      </c>
      <c r="K8" s="1" t="s">
        <v>620</v>
      </c>
      <c r="L8" s="4">
        <v>0.62464490878101098</v>
      </c>
      <c r="M8"/>
      <c r="N8"/>
      <c r="O8"/>
      <c r="P8"/>
      <c r="Q8"/>
    </row>
    <row r="9" spans="1:17" x14ac:dyDescent="0.3">
      <c r="A9" s="1" t="s">
        <v>51</v>
      </c>
      <c r="B9" s="1" t="s">
        <v>73</v>
      </c>
      <c r="C9">
        <v>1981</v>
      </c>
      <c r="D9" s="7">
        <v>1.2238</v>
      </c>
      <c r="E9" s="7">
        <v>1.3169999999999999</v>
      </c>
      <c r="F9" s="7">
        <v>1.4970000000000001</v>
      </c>
      <c r="G9" s="7">
        <v>0.85719999999999996</v>
      </c>
      <c r="H9" s="7">
        <v>1.397</v>
      </c>
      <c r="I9" s="4">
        <v>0.1017</v>
      </c>
      <c r="J9" s="2">
        <v>1.2669999999999999</v>
      </c>
      <c r="K9" s="1" t="s">
        <v>619</v>
      </c>
      <c r="L9" s="4">
        <v>0.52279784278476904</v>
      </c>
      <c r="M9"/>
      <c r="N9"/>
      <c r="O9"/>
      <c r="P9"/>
      <c r="Q9"/>
    </row>
    <row r="10" spans="1:17" x14ac:dyDescent="0.3">
      <c r="A10" s="1" t="s">
        <v>50</v>
      </c>
      <c r="B10" s="1" t="s">
        <v>73</v>
      </c>
      <c r="C10">
        <v>1982</v>
      </c>
      <c r="D10" s="7">
        <v>1.3565</v>
      </c>
      <c r="E10" s="7">
        <v>1.4239999999999999</v>
      </c>
      <c r="F10" s="7">
        <v>1.597</v>
      </c>
      <c r="G10" s="7">
        <v>1.204</v>
      </c>
      <c r="H10" s="7">
        <v>1.2985</v>
      </c>
      <c r="I10" s="4">
        <v>-7.0499999999999993E-2</v>
      </c>
      <c r="J10" s="2">
        <v>1.3809</v>
      </c>
      <c r="K10" s="1" t="s">
        <v>620</v>
      </c>
      <c r="L10" s="4">
        <v>0.28971618134906002</v>
      </c>
      <c r="M10"/>
      <c r="N10"/>
      <c r="O10"/>
      <c r="P10"/>
      <c r="Q10"/>
    </row>
    <row r="11" spans="1:17" x14ac:dyDescent="0.3">
      <c r="A11" s="1" t="s">
        <v>49</v>
      </c>
      <c r="B11" s="1" t="s">
        <v>73</v>
      </c>
      <c r="C11">
        <v>1983</v>
      </c>
      <c r="D11" s="7">
        <v>1.3139000000000001</v>
      </c>
      <c r="E11" s="7">
        <v>1.327</v>
      </c>
      <c r="F11" s="7">
        <v>1.496</v>
      </c>
      <c r="G11" s="7">
        <v>1.2070000000000001</v>
      </c>
      <c r="H11" s="7">
        <v>1.3879999999999999</v>
      </c>
      <c r="I11" s="4">
        <v>6.8900000000000003E-2</v>
      </c>
      <c r="J11" s="2">
        <v>1.3545</v>
      </c>
      <c r="K11" s="1" t="s">
        <v>619</v>
      </c>
      <c r="L11" s="4">
        <v>0.21995585661009201</v>
      </c>
      <c r="M11"/>
      <c r="N11"/>
      <c r="O11"/>
      <c r="P11"/>
      <c r="Q11"/>
    </row>
    <row r="12" spans="1:17" x14ac:dyDescent="0.3">
      <c r="A12" s="1" t="s">
        <v>48</v>
      </c>
      <c r="B12" s="1" t="s">
        <v>73</v>
      </c>
      <c r="C12">
        <v>1984</v>
      </c>
      <c r="D12" s="7">
        <v>1.4349000000000001</v>
      </c>
      <c r="E12" s="7">
        <v>1.3779999999999999</v>
      </c>
      <c r="F12" s="7">
        <v>1.5745</v>
      </c>
      <c r="G12" s="7">
        <v>1.3354999999999999</v>
      </c>
      <c r="H12" s="7">
        <v>1.4225000000000001</v>
      </c>
      <c r="I12" s="4">
        <v>2.4899999999999999E-2</v>
      </c>
      <c r="J12" s="2">
        <v>1.4276</v>
      </c>
      <c r="K12" s="1" t="s">
        <v>619</v>
      </c>
      <c r="L12" s="4">
        <v>0.16656212976514001</v>
      </c>
      <c r="M12"/>
      <c r="N12"/>
      <c r="O12"/>
      <c r="P12"/>
      <c r="Q12"/>
    </row>
    <row r="13" spans="1:17" x14ac:dyDescent="0.3">
      <c r="A13" s="1" t="s">
        <v>47</v>
      </c>
      <c r="B13" s="1" t="s">
        <v>73</v>
      </c>
      <c r="C13">
        <v>1985</v>
      </c>
      <c r="D13" s="7">
        <v>1.4858</v>
      </c>
      <c r="E13" s="7">
        <v>1.4159999999999999</v>
      </c>
      <c r="F13" s="7">
        <v>2.4664999999999999</v>
      </c>
      <c r="G13" s="7">
        <v>1.3129999999999999</v>
      </c>
      <c r="H13" s="7">
        <v>2.4129999999999998</v>
      </c>
      <c r="I13" s="4">
        <v>0.69630000000000003</v>
      </c>
      <c r="J13" s="2">
        <v>1.9020999999999999</v>
      </c>
      <c r="K13" s="1" t="s">
        <v>619</v>
      </c>
      <c r="L13" s="4">
        <v>0.77634944137838202</v>
      </c>
      <c r="M13"/>
      <c r="N13"/>
      <c r="O13"/>
      <c r="P13"/>
      <c r="Q13"/>
    </row>
    <row r="14" spans="1:17" x14ac:dyDescent="0.3">
      <c r="A14" s="1" t="s">
        <v>46</v>
      </c>
      <c r="B14" s="1" t="s">
        <v>73</v>
      </c>
      <c r="C14">
        <v>1986</v>
      </c>
      <c r="D14" s="7">
        <v>1.9958</v>
      </c>
      <c r="E14" s="7">
        <v>2.5855000000000001</v>
      </c>
      <c r="F14" s="7">
        <v>2.7345000000000002</v>
      </c>
      <c r="G14" s="7">
        <v>1.3260000000000001</v>
      </c>
      <c r="H14" s="7">
        <v>1.3685</v>
      </c>
      <c r="I14" s="4">
        <v>-0.43290000000000001</v>
      </c>
      <c r="J14" s="2">
        <v>2.0036</v>
      </c>
      <c r="K14" s="1" t="s">
        <v>620</v>
      </c>
      <c r="L14" s="4">
        <v>0.70573203727828404</v>
      </c>
      <c r="M14"/>
      <c r="N14"/>
      <c r="O14"/>
      <c r="P14"/>
      <c r="Q14"/>
    </row>
    <row r="15" spans="1:17" x14ac:dyDescent="0.3">
      <c r="A15" s="1" t="s">
        <v>45</v>
      </c>
      <c r="B15" s="1" t="s">
        <v>73</v>
      </c>
      <c r="C15">
        <v>1987</v>
      </c>
      <c r="D15" s="7">
        <v>1.1647000000000001</v>
      </c>
      <c r="E15" s="7">
        <v>1.325</v>
      </c>
      <c r="F15" s="7">
        <v>1.34</v>
      </c>
      <c r="G15" s="7">
        <v>0.99299999999999999</v>
      </c>
      <c r="H15" s="7">
        <v>1.2595000000000001</v>
      </c>
      <c r="I15" s="4">
        <v>-7.9600000000000004E-2</v>
      </c>
      <c r="J15" s="2">
        <v>1.2294</v>
      </c>
      <c r="K15" s="1" t="s">
        <v>620</v>
      </c>
      <c r="L15" s="4">
        <v>0.29793079763029101</v>
      </c>
      <c r="M15"/>
      <c r="N15"/>
      <c r="O15"/>
      <c r="P15"/>
      <c r="Q15"/>
    </row>
    <row r="16" spans="1:17" x14ac:dyDescent="0.3">
      <c r="A16" s="1" t="s">
        <v>44</v>
      </c>
      <c r="B16" s="1" t="s">
        <v>73</v>
      </c>
      <c r="C16">
        <v>1988</v>
      </c>
      <c r="D16" s="7">
        <v>1.3113999999999999</v>
      </c>
      <c r="E16" s="7">
        <v>1.2629999999999999</v>
      </c>
      <c r="F16" s="7">
        <v>1.5934999999999999</v>
      </c>
      <c r="G16" s="7">
        <v>1.0885</v>
      </c>
      <c r="H16" s="7">
        <v>1.5934999999999999</v>
      </c>
      <c r="I16" s="4">
        <v>0.26519999999999999</v>
      </c>
      <c r="J16" s="2">
        <v>1.3846000000000001</v>
      </c>
      <c r="K16" s="1" t="s">
        <v>619</v>
      </c>
      <c r="L16" s="4">
        <v>0.38508464236693601</v>
      </c>
      <c r="M16"/>
      <c r="N16"/>
      <c r="O16"/>
      <c r="P16"/>
      <c r="Q16"/>
    </row>
    <row r="17" spans="1:17" x14ac:dyDescent="0.3">
      <c r="A17" s="1" t="s">
        <v>43</v>
      </c>
      <c r="B17" s="1" t="s">
        <v>73</v>
      </c>
      <c r="C17">
        <v>1989</v>
      </c>
      <c r="D17" s="7">
        <v>1.0573999999999999</v>
      </c>
      <c r="E17" s="7">
        <v>1.659</v>
      </c>
      <c r="F17" s="7">
        <v>1.659</v>
      </c>
      <c r="G17" s="7">
        <v>0.68700000000000006</v>
      </c>
      <c r="H17" s="7">
        <v>0.79549999999999998</v>
      </c>
      <c r="I17" s="4">
        <v>-0.50080000000000002</v>
      </c>
      <c r="J17" s="2">
        <v>1.2000999999999999</v>
      </c>
      <c r="K17" s="1" t="s">
        <v>620</v>
      </c>
      <c r="L17" s="4">
        <v>0.91923586154719095</v>
      </c>
      <c r="M17"/>
      <c r="N17"/>
      <c r="O17"/>
      <c r="P17"/>
      <c r="Q17"/>
    </row>
    <row r="18" spans="1:17" x14ac:dyDescent="0.3">
      <c r="A18" s="1" t="s">
        <v>42</v>
      </c>
      <c r="B18" s="1" t="s">
        <v>73</v>
      </c>
      <c r="C18">
        <v>1990</v>
      </c>
      <c r="D18" s="7">
        <v>0.90820000000000001</v>
      </c>
      <c r="E18" s="7">
        <v>0.80549999999999999</v>
      </c>
      <c r="F18" s="7">
        <v>1.0425</v>
      </c>
      <c r="G18" s="7">
        <v>0.77549999999999997</v>
      </c>
      <c r="H18" s="7">
        <v>0.88649999999999995</v>
      </c>
      <c r="I18" s="4">
        <v>0.1144</v>
      </c>
      <c r="J18" s="2">
        <v>0.87749999999999995</v>
      </c>
      <c r="K18" s="1" t="s">
        <v>619</v>
      </c>
      <c r="L18" s="4">
        <v>0.293988108346179</v>
      </c>
      <c r="M18"/>
      <c r="N18"/>
      <c r="O18"/>
      <c r="P18"/>
      <c r="Q18"/>
    </row>
    <row r="19" spans="1:17" x14ac:dyDescent="0.3">
      <c r="A19" s="1" t="s">
        <v>41</v>
      </c>
      <c r="B19" s="1" t="s">
        <v>73</v>
      </c>
      <c r="C19">
        <v>1991</v>
      </c>
      <c r="D19" s="7">
        <v>0.85770000000000002</v>
      </c>
      <c r="E19" s="7">
        <v>0.88049999999999995</v>
      </c>
      <c r="F19" s="7">
        <v>0.95850000000000002</v>
      </c>
      <c r="G19" s="7">
        <v>0.76500000000000001</v>
      </c>
      <c r="H19" s="7">
        <v>0.77700000000000002</v>
      </c>
      <c r="I19" s="4">
        <v>-0.1235</v>
      </c>
      <c r="J19" s="2">
        <v>0.84519999999999995</v>
      </c>
      <c r="K19" s="1" t="s">
        <v>620</v>
      </c>
      <c r="L19" s="4">
        <v>0.225603357817419</v>
      </c>
      <c r="M19"/>
      <c r="N19"/>
      <c r="O19"/>
      <c r="P19"/>
      <c r="Q19"/>
    </row>
    <row r="20" spans="1:17" x14ac:dyDescent="0.3">
      <c r="A20" s="1" t="s">
        <v>40</v>
      </c>
      <c r="B20" s="1" t="s">
        <v>73</v>
      </c>
      <c r="C20">
        <v>1992</v>
      </c>
      <c r="D20" s="7">
        <v>0.65310000000000001</v>
      </c>
      <c r="E20" s="7">
        <v>0.79</v>
      </c>
      <c r="F20" s="7">
        <v>0.81899999999999995</v>
      </c>
      <c r="G20" s="7">
        <v>0.48249999999999998</v>
      </c>
      <c r="H20" s="7">
        <v>0.77549999999999997</v>
      </c>
      <c r="I20" s="4">
        <v>-1.9E-3</v>
      </c>
      <c r="J20" s="2">
        <v>0.71679999999999999</v>
      </c>
      <c r="K20" s="1" t="s">
        <v>620</v>
      </c>
      <c r="L20" s="4">
        <v>0.51523503291992001</v>
      </c>
      <c r="M20"/>
      <c r="N20"/>
      <c r="O20"/>
      <c r="P20"/>
      <c r="Q20"/>
    </row>
    <row r="21" spans="1:17" x14ac:dyDescent="0.3">
      <c r="A21" s="1" t="s">
        <v>39</v>
      </c>
      <c r="B21" s="1" t="s">
        <v>73</v>
      </c>
      <c r="C21">
        <v>1993</v>
      </c>
      <c r="D21" s="7">
        <v>0.68579999999999997</v>
      </c>
      <c r="E21" s="7">
        <v>0.748</v>
      </c>
      <c r="F21" s="7">
        <v>0.83150000000000002</v>
      </c>
      <c r="G21" s="7">
        <v>0.52149999999999996</v>
      </c>
      <c r="H21" s="7">
        <v>0.71550000000000002</v>
      </c>
      <c r="I21" s="4">
        <v>-7.7399999999999997E-2</v>
      </c>
      <c r="J21" s="2">
        <v>0.70409999999999995</v>
      </c>
      <c r="K21" s="1" t="s">
        <v>620</v>
      </c>
      <c r="L21" s="4">
        <v>0.45202682997958599</v>
      </c>
      <c r="M21"/>
      <c r="N21"/>
      <c r="O21"/>
      <c r="P21"/>
      <c r="Q21"/>
    </row>
    <row r="22" spans="1:17" x14ac:dyDescent="0.3">
      <c r="A22" s="1" t="s">
        <v>38</v>
      </c>
      <c r="B22" s="1" t="s">
        <v>73</v>
      </c>
      <c r="C22">
        <v>1994</v>
      </c>
      <c r="D22" s="7">
        <v>1.4483999999999999</v>
      </c>
      <c r="E22" s="7">
        <v>0.72499999999999998</v>
      </c>
      <c r="F22" s="7">
        <v>2.468</v>
      </c>
      <c r="G22" s="7">
        <v>0.71550000000000002</v>
      </c>
      <c r="H22" s="7">
        <v>1.6884999999999999</v>
      </c>
      <c r="I22" s="4">
        <v>1.3599000000000001</v>
      </c>
      <c r="J22" s="2">
        <v>1.3992</v>
      </c>
      <c r="K22" s="1" t="s">
        <v>619</v>
      </c>
      <c r="L22" s="4">
        <v>1.20995581331124</v>
      </c>
      <c r="M22"/>
      <c r="N22"/>
      <c r="O22"/>
      <c r="P22"/>
      <c r="Q22"/>
    </row>
    <row r="23" spans="1:17" x14ac:dyDescent="0.3">
      <c r="A23" s="1" t="s">
        <v>37</v>
      </c>
      <c r="B23" s="1" t="s">
        <v>73</v>
      </c>
      <c r="C23">
        <v>1995</v>
      </c>
      <c r="D23" s="7">
        <v>1.4634</v>
      </c>
      <c r="E23" s="7">
        <v>1.6775</v>
      </c>
      <c r="F23" s="7">
        <v>1.8774999999999999</v>
      </c>
      <c r="G23" s="7">
        <v>0.93899999999999995</v>
      </c>
      <c r="H23" s="7">
        <v>0.94899999999999995</v>
      </c>
      <c r="I23" s="4">
        <v>-0.438</v>
      </c>
      <c r="J23" s="2">
        <v>1.3608</v>
      </c>
      <c r="K23" s="1" t="s">
        <v>620</v>
      </c>
      <c r="L23" s="4">
        <v>0.641314746480798</v>
      </c>
      <c r="M23"/>
      <c r="N23"/>
      <c r="O23"/>
      <c r="P23"/>
      <c r="Q23"/>
    </row>
    <row r="24" spans="1:17" x14ac:dyDescent="0.3">
      <c r="A24" s="1" t="s">
        <v>36</v>
      </c>
      <c r="B24" s="1" t="s">
        <v>73</v>
      </c>
      <c r="C24">
        <v>1996</v>
      </c>
      <c r="D24" s="7">
        <v>1.1552</v>
      </c>
      <c r="E24" s="7">
        <v>0.91249999999999998</v>
      </c>
      <c r="F24" s="7">
        <v>1.3645</v>
      </c>
      <c r="G24" s="7">
        <v>0.91249999999999998</v>
      </c>
      <c r="H24" s="7">
        <v>1.169</v>
      </c>
      <c r="I24" s="4">
        <v>0.23180000000000001</v>
      </c>
      <c r="J24" s="2">
        <v>1.0895999999999999</v>
      </c>
      <c r="K24" s="1" t="s">
        <v>619</v>
      </c>
      <c r="L24" s="4">
        <v>0.39127423822714702</v>
      </c>
      <c r="M24"/>
      <c r="N24"/>
      <c r="O24"/>
      <c r="P24"/>
      <c r="Q24"/>
    </row>
    <row r="25" spans="1:17" x14ac:dyDescent="0.3">
      <c r="A25" s="1" t="s">
        <v>35</v>
      </c>
      <c r="B25" s="1" t="s">
        <v>73</v>
      </c>
      <c r="C25">
        <v>1997</v>
      </c>
      <c r="D25" s="7">
        <v>1.7934000000000001</v>
      </c>
      <c r="E25" s="7">
        <v>1.1665000000000001</v>
      </c>
      <c r="F25" s="7">
        <v>3.1480000000000001</v>
      </c>
      <c r="G25" s="7">
        <v>1.1405000000000001</v>
      </c>
      <c r="H25" s="7">
        <v>1.6245000000000001</v>
      </c>
      <c r="I25" s="4">
        <v>0.3896</v>
      </c>
      <c r="J25" s="2">
        <v>1.7699</v>
      </c>
      <c r="K25" s="1" t="s">
        <v>619</v>
      </c>
      <c r="L25" s="4">
        <v>1.11938217910115</v>
      </c>
      <c r="M25"/>
      <c r="N25"/>
      <c r="O25"/>
      <c r="P25"/>
      <c r="Q25"/>
    </row>
    <row r="26" spans="1:17" x14ac:dyDescent="0.3">
      <c r="A26" s="1" t="s">
        <v>34</v>
      </c>
      <c r="B26" s="1" t="s">
        <v>73</v>
      </c>
      <c r="C26">
        <v>1998</v>
      </c>
      <c r="D26" s="7">
        <v>1.2929999999999999</v>
      </c>
      <c r="E26" s="7">
        <v>1.7070000000000001</v>
      </c>
      <c r="F26" s="7">
        <v>1.8194999999999999</v>
      </c>
      <c r="G26" s="7">
        <v>1.0109999999999999</v>
      </c>
      <c r="H26" s="7">
        <v>1.1775</v>
      </c>
      <c r="I26" s="4">
        <v>-0.2752</v>
      </c>
      <c r="J26" s="2">
        <v>1.4288000000000001</v>
      </c>
      <c r="K26" s="1" t="s">
        <v>620</v>
      </c>
      <c r="L26" s="4">
        <v>0.625290023201856</v>
      </c>
      <c r="M26"/>
      <c r="N26"/>
      <c r="O26"/>
      <c r="P26"/>
      <c r="Q26"/>
    </row>
    <row r="27" spans="1:17" x14ac:dyDescent="0.3">
      <c r="A27" s="1" t="s">
        <v>33</v>
      </c>
      <c r="B27" s="1" t="s">
        <v>73</v>
      </c>
      <c r="C27">
        <v>1999</v>
      </c>
      <c r="D27" s="7">
        <v>1.0417000000000001</v>
      </c>
      <c r="E27" s="7">
        <v>1.226</v>
      </c>
      <c r="F27" s="7">
        <v>1.4404999999999999</v>
      </c>
      <c r="G27" s="7">
        <v>0.8135</v>
      </c>
      <c r="H27" s="7">
        <v>1.2589999999999999</v>
      </c>
      <c r="I27" s="4">
        <v>6.9199999999999998E-2</v>
      </c>
      <c r="J27" s="2">
        <v>1.1848000000000001</v>
      </c>
      <c r="K27" s="1" t="s">
        <v>619</v>
      </c>
      <c r="L27" s="4">
        <v>0.60190073917634601</v>
      </c>
      <c r="M27"/>
      <c r="N27"/>
      <c r="O27"/>
      <c r="P27"/>
      <c r="Q27"/>
    </row>
    <row r="28" spans="1:17" x14ac:dyDescent="0.3">
      <c r="A28" s="1" t="s">
        <v>32</v>
      </c>
      <c r="B28" s="1" t="s">
        <v>73</v>
      </c>
      <c r="C28">
        <v>2000</v>
      </c>
      <c r="D28" s="7">
        <v>0.90469999999999995</v>
      </c>
      <c r="E28" s="7">
        <v>1.165</v>
      </c>
      <c r="F28" s="7">
        <v>1.1904999999999999</v>
      </c>
      <c r="G28" s="7">
        <v>0.65049999999999997</v>
      </c>
      <c r="H28" s="7">
        <v>0.65549999999999997</v>
      </c>
      <c r="I28" s="4">
        <v>-0.4793</v>
      </c>
      <c r="J28" s="2">
        <v>0.91539999999999999</v>
      </c>
      <c r="K28" s="1" t="s">
        <v>620</v>
      </c>
      <c r="L28" s="4">
        <v>0.596882944622527</v>
      </c>
      <c r="M28"/>
      <c r="N28"/>
      <c r="O28"/>
      <c r="P28"/>
      <c r="Q28"/>
    </row>
    <row r="29" spans="1:17" x14ac:dyDescent="0.3">
      <c r="A29" s="1" t="s">
        <v>31</v>
      </c>
      <c r="B29" s="1" t="s">
        <v>73</v>
      </c>
      <c r="C29">
        <v>2001</v>
      </c>
      <c r="D29" s="7">
        <v>0.55689999999999995</v>
      </c>
      <c r="E29" s="7">
        <v>0.63400000000000001</v>
      </c>
      <c r="F29" s="7">
        <v>0.71250000000000002</v>
      </c>
      <c r="G29" s="7">
        <v>0.42499999999999999</v>
      </c>
      <c r="H29" s="7">
        <v>0.46200000000000002</v>
      </c>
      <c r="I29" s="4">
        <v>-0.29520000000000002</v>
      </c>
      <c r="J29" s="2">
        <v>0.55840000000000001</v>
      </c>
      <c r="K29" s="1" t="s">
        <v>620</v>
      </c>
      <c r="L29" s="4">
        <v>0.51625067337044395</v>
      </c>
      <c r="M29"/>
      <c r="N29"/>
      <c r="O29"/>
      <c r="P29"/>
      <c r="Q29"/>
    </row>
    <row r="30" spans="1:17" x14ac:dyDescent="0.3">
      <c r="A30" s="1" t="s">
        <v>30</v>
      </c>
      <c r="B30" s="1" t="s">
        <v>73</v>
      </c>
      <c r="C30">
        <v>2002</v>
      </c>
      <c r="D30" s="7">
        <v>0.54</v>
      </c>
      <c r="E30" s="7">
        <v>0.47349999999999998</v>
      </c>
      <c r="F30" s="7">
        <v>0.72850000000000004</v>
      </c>
      <c r="G30" s="7">
        <v>0.43</v>
      </c>
      <c r="H30" s="7">
        <v>0.60199999999999998</v>
      </c>
      <c r="I30" s="4">
        <v>0.30299999999999999</v>
      </c>
      <c r="J30" s="2">
        <v>0.5585</v>
      </c>
      <c r="K30" s="1" t="s">
        <v>619</v>
      </c>
      <c r="L30" s="4">
        <v>0.55277777777777803</v>
      </c>
      <c r="M30"/>
      <c r="N30"/>
      <c r="O30"/>
      <c r="P30"/>
      <c r="Q30"/>
    </row>
    <row r="31" spans="1:17" x14ac:dyDescent="0.3">
      <c r="A31" s="1" t="s">
        <v>29</v>
      </c>
      <c r="B31" s="1" t="s">
        <v>73</v>
      </c>
      <c r="C31">
        <v>2003</v>
      </c>
      <c r="D31" s="7">
        <v>0.62460000000000004</v>
      </c>
      <c r="E31" s="7">
        <v>0.61650000000000005</v>
      </c>
      <c r="F31" s="7">
        <v>0.72050000000000003</v>
      </c>
      <c r="G31" s="7">
        <v>0.5605</v>
      </c>
      <c r="H31" s="7">
        <v>0.64949999999999997</v>
      </c>
      <c r="I31" s="4">
        <v>7.8899999999999998E-2</v>
      </c>
      <c r="J31" s="2">
        <v>0.63680000000000003</v>
      </c>
      <c r="K31" s="1" t="s">
        <v>619</v>
      </c>
      <c r="L31" s="4">
        <v>0.25616394492475197</v>
      </c>
      <c r="M31"/>
      <c r="N31"/>
      <c r="O31"/>
      <c r="P31"/>
      <c r="Q31"/>
    </row>
    <row r="32" spans="1:17" x14ac:dyDescent="0.3">
      <c r="A32" s="1" t="s">
        <v>28</v>
      </c>
      <c r="B32" s="1" t="s">
        <v>73</v>
      </c>
      <c r="C32">
        <v>2004</v>
      </c>
      <c r="D32" s="7">
        <v>0.76739999999999997</v>
      </c>
      <c r="E32" s="7">
        <v>0.68600000000000005</v>
      </c>
      <c r="F32" s="7">
        <v>1.0794999999999999</v>
      </c>
      <c r="G32" s="7">
        <v>0.65549999999999997</v>
      </c>
      <c r="H32" s="7">
        <v>1.0375000000000001</v>
      </c>
      <c r="I32" s="4">
        <v>0.59740000000000004</v>
      </c>
      <c r="J32" s="2">
        <v>0.86460000000000004</v>
      </c>
      <c r="K32" s="1" t="s">
        <v>619</v>
      </c>
      <c r="L32" s="4">
        <v>0.55251498566588497</v>
      </c>
      <c r="M32"/>
      <c r="N32"/>
      <c r="O32"/>
      <c r="P32"/>
      <c r="Q32"/>
    </row>
    <row r="33" spans="1:17" x14ac:dyDescent="0.3">
      <c r="A33" s="1" t="s">
        <v>27</v>
      </c>
      <c r="B33" s="1" t="s">
        <v>73</v>
      </c>
      <c r="C33">
        <v>2005</v>
      </c>
      <c r="D33" s="7">
        <v>1.0810999999999999</v>
      </c>
      <c r="E33" s="7">
        <v>1.0309999999999999</v>
      </c>
      <c r="F33" s="7">
        <v>1.381</v>
      </c>
      <c r="G33" s="7">
        <v>0.86450000000000005</v>
      </c>
      <c r="H33" s="7">
        <v>1.071</v>
      </c>
      <c r="I33" s="4">
        <v>3.2300000000000002E-2</v>
      </c>
      <c r="J33" s="2">
        <v>1.0869</v>
      </c>
      <c r="K33" s="1" t="s">
        <v>619</v>
      </c>
      <c r="L33" s="4">
        <v>0.477754139302562</v>
      </c>
      <c r="M33"/>
      <c r="N33"/>
      <c r="O33"/>
      <c r="P33"/>
      <c r="Q33"/>
    </row>
    <row r="34" spans="1:17" x14ac:dyDescent="0.3">
      <c r="A34" s="1" t="s">
        <v>26</v>
      </c>
      <c r="B34" s="1" t="s">
        <v>73</v>
      </c>
      <c r="C34">
        <v>2006</v>
      </c>
      <c r="D34" s="7">
        <v>1.0847</v>
      </c>
      <c r="E34" s="7">
        <v>1.0860000000000001</v>
      </c>
      <c r="F34" s="7">
        <v>1.2889999999999999</v>
      </c>
      <c r="G34" s="7">
        <v>0.9405</v>
      </c>
      <c r="H34" s="7">
        <v>1.262</v>
      </c>
      <c r="I34" s="4">
        <v>0.17829999999999999</v>
      </c>
      <c r="J34" s="2">
        <v>1.1444000000000001</v>
      </c>
      <c r="K34" s="1" t="s">
        <v>619</v>
      </c>
      <c r="L34" s="4">
        <v>0.321286991794966</v>
      </c>
      <c r="M34"/>
      <c r="N34"/>
      <c r="O34"/>
      <c r="P34"/>
      <c r="Q34"/>
    </row>
    <row r="35" spans="1:17" x14ac:dyDescent="0.3">
      <c r="A35" s="1" t="s">
        <v>25</v>
      </c>
      <c r="B35" s="1" t="s">
        <v>73</v>
      </c>
      <c r="C35">
        <v>2007</v>
      </c>
      <c r="D35" s="7">
        <v>1.18</v>
      </c>
      <c r="E35" s="7">
        <v>1.236</v>
      </c>
      <c r="F35" s="7">
        <v>1.393</v>
      </c>
      <c r="G35" s="7">
        <v>1.0435000000000001</v>
      </c>
      <c r="H35" s="7">
        <v>1.3620000000000001</v>
      </c>
      <c r="I35" s="4">
        <v>7.9200000000000007E-2</v>
      </c>
      <c r="J35" s="2">
        <v>1.2585999999999999</v>
      </c>
      <c r="K35" s="1" t="s">
        <v>619</v>
      </c>
      <c r="L35" s="4">
        <v>0.29618644067796601</v>
      </c>
      <c r="M35"/>
      <c r="N35"/>
      <c r="O35"/>
      <c r="P35"/>
      <c r="Q35"/>
    </row>
    <row r="36" spans="1:17" x14ac:dyDescent="0.3">
      <c r="A36" s="1" t="s">
        <v>24</v>
      </c>
      <c r="B36" s="1" t="s">
        <v>73</v>
      </c>
      <c r="C36">
        <v>2008</v>
      </c>
      <c r="D36" s="7">
        <v>1.3262</v>
      </c>
      <c r="E36" s="7">
        <v>1.34</v>
      </c>
      <c r="F36" s="7">
        <v>1.6755</v>
      </c>
      <c r="G36" s="7">
        <v>1.032</v>
      </c>
      <c r="H36" s="7">
        <v>1.1205000000000001</v>
      </c>
      <c r="I36" s="4">
        <v>-0.17730000000000001</v>
      </c>
      <c r="J36" s="2">
        <v>1.292</v>
      </c>
      <c r="K36" s="1" t="s">
        <v>620</v>
      </c>
      <c r="L36" s="4">
        <v>0.48522093198612598</v>
      </c>
      <c r="M36"/>
      <c r="N36"/>
      <c r="O36"/>
      <c r="P36"/>
      <c r="Q36"/>
    </row>
    <row r="37" spans="1:17" x14ac:dyDescent="0.3">
      <c r="A37" s="1" t="s">
        <v>23</v>
      </c>
      <c r="B37" s="1" t="s">
        <v>73</v>
      </c>
      <c r="C37">
        <v>2009</v>
      </c>
      <c r="D37" s="7">
        <v>1.2576000000000001</v>
      </c>
      <c r="E37" s="7">
        <v>1.109</v>
      </c>
      <c r="F37" s="7">
        <v>1.4830000000000001</v>
      </c>
      <c r="G37" s="7">
        <v>1.0569999999999999</v>
      </c>
      <c r="H37" s="7">
        <v>1.3594999999999999</v>
      </c>
      <c r="I37" s="4">
        <v>0.21329999999999999</v>
      </c>
      <c r="J37" s="2">
        <v>1.2521</v>
      </c>
      <c r="K37" s="1" t="s">
        <v>619</v>
      </c>
      <c r="L37" s="4">
        <v>0.33874045801526698</v>
      </c>
      <c r="M37"/>
      <c r="N37"/>
      <c r="O37"/>
      <c r="P37"/>
      <c r="Q37"/>
    </row>
    <row r="38" spans="1:17" x14ac:dyDescent="0.3">
      <c r="A38" s="1" t="s">
        <v>22</v>
      </c>
      <c r="B38" s="1" t="s">
        <v>73</v>
      </c>
      <c r="C38">
        <v>2010</v>
      </c>
      <c r="D38" s="7">
        <v>1.6415999999999999</v>
      </c>
      <c r="E38" s="7">
        <v>1.4185000000000001</v>
      </c>
      <c r="F38" s="7">
        <v>2.4049999999999998</v>
      </c>
      <c r="G38" s="7">
        <v>1.288</v>
      </c>
      <c r="H38" s="7">
        <v>2.4049999999999998</v>
      </c>
      <c r="I38" s="4">
        <v>0.76900000000000002</v>
      </c>
      <c r="J38" s="2">
        <v>1.8791</v>
      </c>
      <c r="K38" s="1" t="s">
        <v>619</v>
      </c>
      <c r="L38" s="4">
        <v>0.680433723196881</v>
      </c>
      <c r="M38"/>
      <c r="N38"/>
      <c r="O38"/>
      <c r="P38"/>
      <c r="Q38"/>
    </row>
    <row r="39" spans="1:17" x14ac:dyDescent="0.3">
      <c r="A39" s="1" t="s">
        <v>21</v>
      </c>
      <c r="B39" s="1" t="s">
        <v>73</v>
      </c>
      <c r="C39">
        <v>2011</v>
      </c>
      <c r="D39" s="7">
        <v>2.5337999999999998</v>
      </c>
      <c r="E39" s="7">
        <v>2.3494999999999999</v>
      </c>
      <c r="F39" s="7">
        <v>3.0615000000000001</v>
      </c>
      <c r="G39" s="7">
        <v>2.1509999999999998</v>
      </c>
      <c r="H39" s="7">
        <v>2.2685</v>
      </c>
      <c r="I39" s="4">
        <v>-5.6800000000000003E-2</v>
      </c>
      <c r="J39" s="2">
        <v>2.4575999999999998</v>
      </c>
      <c r="K39" s="1" t="s">
        <v>620</v>
      </c>
      <c r="L39" s="4">
        <v>0.35934170021311901</v>
      </c>
      <c r="M39"/>
      <c r="N39"/>
      <c r="O39"/>
      <c r="P39"/>
      <c r="Q39"/>
    </row>
    <row r="40" spans="1:17" x14ac:dyDescent="0.3">
      <c r="A40" s="1" t="s">
        <v>20</v>
      </c>
      <c r="B40" s="1" t="s">
        <v>73</v>
      </c>
      <c r="C40">
        <v>2012</v>
      </c>
      <c r="D40" s="7">
        <v>1.7527999999999999</v>
      </c>
      <c r="E40" s="7">
        <v>2.2719999999999998</v>
      </c>
      <c r="F40" s="7">
        <v>2.3490000000000002</v>
      </c>
      <c r="G40" s="7">
        <v>1.399</v>
      </c>
      <c r="H40" s="7">
        <v>1.4379999999999999</v>
      </c>
      <c r="I40" s="4">
        <v>-0.36609999999999998</v>
      </c>
      <c r="J40" s="2">
        <v>1.8645</v>
      </c>
      <c r="K40" s="1" t="s">
        <v>620</v>
      </c>
      <c r="L40" s="4">
        <v>0.54198995892286606</v>
      </c>
      <c r="M40"/>
      <c r="N40"/>
      <c r="O40"/>
      <c r="P40"/>
      <c r="Q40"/>
    </row>
    <row r="41" spans="1:17" x14ac:dyDescent="0.3">
      <c r="A41" s="1" t="s">
        <v>19</v>
      </c>
      <c r="B41" s="1" t="s">
        <v>73</v>
      </c>
      <c r="C41">
        <v>2013</v>
      </c>
      <c r="D41" s="7">
        <v>1.2625</v>
      </c>
      <c r="E41" s="7">
        <v>1.494</v>
      </c>
      <c r="F41" s="7">
        <v>1.5629999999999999</v>
      </c>
      <c r="G41" s="7">
        <v>1.0149999999999999</v>
      </c>
      <c r="H41" s="7">
        <v>1.107</v>
      </c>
      <c r="I41" s="4">
        <v>-0.23019999999999999</v>
      </c>
      <c r="J41" s="2">
        <v>1.2948</v>
      </c>
      <c r="K41" s="1" t="s">
        <v>620</v>
      </c>
      <c r="L41" s="4">
        <v>0.434059405940594</v>
      </c>
      <c r="M41"/>
      <c r="N41"/>
      <c r="O41"/>
      <c r="P41"/>
      <c r="Q41"/>
    </row>
    <row r="42" spans="1:17" x14ac:dyDescent="0.3">
      <c r="A42" s="1" t="s">
        <v>18</v>
      </c>
      <c r="B42" s="1" t="s">
        <v>73</v>
      </c>
      <c r="C42">
        <v>2014</v>
      </c>
      <c r="D42" s="7">
        <v>1.784</v>
      </c>
      <c r="E42" s="7">
        <v>1.1140000000000001</v>
      </c>
      <c r="F42" s="7">
        <v>2.2189999999999999</v>
      </c>
      <c r="G42" s="7">
        <v>1.1140000000000001</v>
      </c>
      <c r="H42" s="7">
        <v>1.6659999999999999</v>
      </c>
      <c r="I42" s="4">
        <v>0.505</v>
      </c>
      <c r="J42" s="2">
        <v>1.5282</v>
      </c>
      <c r="K42" s="1" t="s">
        <v>619</v>
      </c>
      <c r="L42" s="4">
        <v>0.61939461883407998</v>
      </c>
      <c r="M42"/>
      <c r="N42"/>
      <c r="O42"/>
      <c r="P42"/>
      <c r="Q42"/>
    </row>
    <row r="43" spans="1:17" x14ac:dyDescent="0.3">
      <c r="A43" s="1" t="s">
        <v>17</v>
      </c>
      <c r="B43" s="1" t="s">
        <v>73</v>
      </c>
      <c r="C43">
        <v>2015</v>
      </c>
      <c r="D43" s="7">
        <v>1.3314999999999999</v>
      </c>
      <c r="E43" s="7">
        <v>1.6105</v>
      </c>
      <c r="F43" s="7">
        <v>1.8005</v>
      </c>
      <c r="G43" s="7">
        <v>1.1214999999999999</v>
      </c>
      <c r="H43" s="7">
        <v>1.2669999999999999</v>
      </c>
      <c r="I43" s="4">
        <v>-0.23949999999999999</v>
      </c>
      <c r="J43" s="2">
        <v>1.4499</v>
      </c>
      <c r="K43" s="1" t="s">
        <v>620</v>
      </c>
      <c r="L43" s="4">
        <v>0.50995118287645502</v>
      </c>
      <c r="M43"/>
      <c r="N43"/>
      <c r="O43"/>
      <c r="P43"/>
      <c r="Q43"/>
    </row>
    <row r="44" spans="1:17" x14ac:dyDescent="0.3">
      <c r="A44" s="1" t="s">
        <v>16</v>
      </c>
      <c r="B44" s="1" t="s">
        <v>73</v>
      </c>
      <c r="C44">
        <v>2016</v>
      </c>
      <c r="D44" s="7">
        <v>1.3683000000000001</v>
      </c>
      <c r="E44" s="7">
        <v>1.2390000000000001</v>
      </c>
      <c r="F44" s="7">
        <v>1.7435</v>
      </c>
      <c r="G44" s="7">
        <v>1.1160000000000001</v>
      </c>
      <c r="H44" s="7">
        <v>1.3705000000000001</v>
      </c>
      <c r="I44" s="4">
        <v>8.1699999999999995E-2</v>
      </c>
      <c r="J44" s="2">
        <v>1.3672</v>
      </c>
      <c r="K44" s="1" t="s">
        <v>619</v>
      </c>
      <c r="L44" s="4">
        <v>0.45859826061536202</v>
      </c>
      <c r="M44"/>
      <c r="N44"/>
      <c r="O44"/>
      <c r="P44"/>
      <c r="Q44"/>
    </row>
    <row r="45" spans="1:17" x14ac:dyDescent="0.3">
      <c r="A45" s="1" t="s">
        <v>15</v>
      </c>
      <c r="B45" s="1" t="s">
        <v>73</v>
      </c>
      <c r="C45">
        <v>2017</v>
      </c>
      <c r="D45" s="7">
        <v>1.3346</v>
      </c>
      <c r="E45" s="7">
        <v>1.3740000000000001</v>
      </c>
      <c r="F45" s="7">
        <v>1.554</v>
      </c>
      <c r="G45" s="7">
        <v>1.1345000000000001</v>
      </c>
      <c r="H45" s="7">
        <v>1.262</v>
      </c>
      <c r="I45" s="4">
        <v>-7.9200000000000007E-2</v>
      </c>
      <c r="J45" s="2">
        <v>1.3310999999999999</v>
      </c>
      <c r="K45" s="1" t="s">
        <v>620</v>
      </c>
      <c r="L45" s="4">
        <v>0.31432638992956702</v>
      </c>
      <c r="M45"/>
      <c r="N45"/>
      <c r="O45"/>
      <c r="P45"/>
      <c r="Q45"/>
    </row>
    <row r="46" spans="1:17" x14ac:dyDescent="0.3">
      <c r="A46" s="1" t="s">
        <v>14</v>
      </c>
      <c r="B46" s="1" t="s">
        <v>73</v>
      </c>
      <c r="C46">
        <v>2018</v>
      </c>
      <c r="D46" s="7">
        <v>1.1359999999999999</v>
      </c>
      <c r="E46" s="7">
        <v>1.302</v>
      </c>
      <c r="F46" s="7">
        <v>1.302</v>
      </c>
      <c r="G46" s="7">
        <v>0.95850000000000002</v>
      </c>
      <c r="H46" s="7">
        <v>1.0185</v>
      </c>
      <c r="I46" s="4">
        <v>-0.19289999999999999</v>
      </c>
      <c r="J46" s="2">
        <v>1.1452</v>
      </c>
      <c r="K46" s="1" t="s">
        <v>620</v>
      </c>
      <c r="L46" s="4">
        <v>0.30237676056337998</v>
      </c>
      <c r="M46"/>
      <c r="N46"/>
      <c r="O46"/>
      <c r="P46"/>
      <c r="Q46"/>
    </row>
    <row r="47" spans="1:17" x14ac:dyDescent="0.3">
      <c r="A47" s="1" t="s">
        <v>13</v>
      </c>
      <c r="B47" s="1" t="s">
        <v>73</v>
      </c>
      <c r="C47">
        <v>2019</v>
      </c>
      <c r="D47" s="7">
        <v>1.0182</v>
      </c>
      <c r="E47" s="7">
        <v>0.995</v>
      </c>
      <c r="F47" s="7">
        <v>1.3895</v>
      </c>
      <c r="G47" s="7">
        <v>0.87050000000000005</v>
      </c>
      <c r="H47" s="7">
        <v>1.2969999999999999</v>
      </c>
      <c r="I47" s="4">
        <v>0.27339999999999998</v>
      </c>
      <c r="J47" s="2">
        <v>1.1379999999999999</v>
      </c>
      <c r="K47" s="1" t="s">
        <v>619</v>
      </c>
      <c r="L47" s="4">
        <v>0.50972304065998797</v>
      </c>
      <c r="M47"/>
      <c r="N47"/>
      <c r="O47"/>
      <c r="P47"/>
      <c r="Q47"/>
    </row>
    <row r="48" spans="1:17" x14ac:dyDescent="0.3">
      <c r="A48" s="1" t="s">
        <v>12</v>
      </c>
      <c r="B48" s="1" t="s">
        <v>73</v>
      </c>
      <c r="C48">
        <v>2020</v>
      </c>
      <c r="D48" s="7">
        <v>1.1137999999999999</v>
      </c>
      <c r="E48" s="7">
        <v>1.2709999999999999</v>
      </c>
      <c r="F48" s="7">
        <v>1.34</v>
      </c>
      <c r="G48" s="7">
        <v>0.9365</v>
      </c>
      <c r="H48" s="7">
        <v>1.2825</v>
      </c>
      <c r="I48" s="4">
        <v>-1.12E-2</v>
      </c>
      <c r="J48" s="2">
        <v>1.2075</v>
      </c>
      <c r="K48" s="1" t="s">
        <v>620</v>
      </c>
      <c r="L48" s="4">
        <v>0.36227329861734597</v>
      </c>
      <c r="M48"/>
      <c r="N48"/>
      <c r="O48"/>
      <c r="P48"/>
      <c r="Q48"/>
    </row>
    <row r="49" spans="1:17" x14ac:dyDescent="0.3">
      <c r="A49" s="1" t="s">
        <v>11</v>
      </c>
      <c r="B49" s="1" t="s">
        <v>73</v>
      </c>
      <c r="C49">
        <v>2021</v>
      </c>
      <c r="D49" s="7">
        <v>1.6933</v>
      </c>
      <c r="E49" s="7">
        <v>1.2615000000000001</v>
      </c>
      <c r="F49" s="7">
        <v>2.4984999999999999</v>
      </c>
      <c r="G49" s="7">
        <v>1.2090000000000001</v>
      </c>
      <c r="H49" s="7">
        <v>2.2610000000000001</v>
      </c>
      <c r="I49" s="4">
        <v>0.76300000000000001</v>
      </c>
      <c r="J49" s="2">
        <v>1.8075000000000001</v>
      </c>
      <c r="K49" s="1" t="s">
        <v>619</v>
      </c>
      <c r="L49" s="4">
        <v>0.76153073879407096</v>
      </c>
      <c r="M49"/>
      <c r="N49"/>
      <c r="O49"/>
      <c r="P49"/>
      <c r="Q49"/>
    </row>
    <row r="50" spans="1:17" x14ac:dyDescent="0.3">
      <c r="A50" s="1" t="s">
        <v>10</v>
      </c>
      <c r="B50" s="1" t="s">
        <v>73</v>
      </c>
      <c r="C50">
        <v>2022</v>
      </c>
      <c r="D50" s="7">
        <v>2.1442999999999999</v>
      </c>
      <c r="E50" s="7">
        <v>2.2330000000000001</v>
      </c>
      <c r="F50" s="7">
        <v>2.5834999999999999</v>
      </c>
      <c r="G50" s="7">
        <v>1.52</v>
      </c>
      <c r="H50" s="7">
        <v>1.67</v>
      </c>
      <c r="I50" s="4">
        <v>-0.26140000000000002</v>
      </c>
      <c r="J50" s="2">
        <v>2.0015999999999998</v>
      </c>
      <c r="K50" s="1" t="s">
        <v>620</v>
      </c>
      <c r="L50" s="4">
        <v>0.49596604952665202</v>
      </c>
      <c r="M50"/>
      <c r="N50"/>
      <c r="O50"/>
      <c r="P50"/>
      <c r="Q50"/>
    </row>
    <row r="51" spans="1:17" x14ac:dyDescent="0.3">
      <c r="A51" s="1" t="s">
        <v>9</v>
      </c>
      <c r="B51" s="1" t="s">
        <v>73</v>
      </c>
      <c r="C51">
        <v>2023</v>
      </c>
      <c r="D51" s="7">
        <v>1.6453</v>
      </c>
      <c r="E51" s="7">
        <v>1.67</v>
      </c>
      <c r="F51" s="7">
        <v>2.0165000000000002</v>
      </c>
      <c r="G51" s="7">
        <v>1.6799999999999999E-2</v>
      </c>
      <c r="H51" s="7">
        <v>1.9611000000000001</v>
      </c>
      <c r="I51" s="4">
        <v>0.17430000000000001</v>
      </c>
      <c r="J51" s="2">
        <v>1.4160999999999999</v>
      </c>
      <c r="K51" s="1" t="s">
        <v>619</v>
      </c>
      <c r="L51" s="4">
        <v>1.2154014465447001</v>
      </c>
      <c r="M51"/>
      <c r="N51"/>
      <c r="O51"/>
      <c r="P51"/>
      <c r="Q51"/>
    </row>
    <row r="52" spans="1:17" x14ac:dyDescent="0.3">
      <c r="A52" s="1" t="s">
        <v>8</v>
      </c>
      <c r="B52" s="1" t="s">
        <v>73</v>
      </c>
      <c r="C52">
        <v>2024</v>
      </c>
      <c r="D52" s="7">
        <v>1.7558</v>
      </c>
      <c r="E52" s="7">
        <v>1.9611000000000001</v>
      </c>
      <c r="F52" s="7">
        <v>2.3370000000000002</v>
      </c>
      <c r="G52" s="7">
        <v>2.1499999999999998E-2</v>
      </c>
      <c r="H52" s="7">
        <v>2.25</v>
      </c>
      <c r="I52" s="4">
        <v>0.14729999999999999</v>
      </c>
      <c r="J52" s="2">
        <v>1.6424000000000001</v>
      </c>
      <c r="K52" s="1" t="s">
        <v>619</v>
      </c>
      <c r="L52" s="4">
        <v>1.3187720697118099</v>
      </c>
      <c r="M52"/>
      <c r="N52"/>
      <c r="O52"/>
      <c r="P52"/>
      <c r="Q52"/>
    </row>
    <row r="53" spans="1:17" x14ac:dyDescent="0.3">
      <c r="A53" s="1" t="s">
        <v>611</v>
      </c>
      <c r="B53" s="1" t="s">
        <v>82</v>
      </c>
      <c r="C53">
        <v>1960</v>
      </c>
      <c r="D53" s="7">
        <v>0.29830000000000001</v>
      </c>
      <c r="E53" s="7">
        <v>0.31869999999999998</v>
      </c>
      <c r="F53" s="7">
        <v>0.3286</v>
      </c>
      <c r="G53" s="7">
        <v>0.27529999999999999</v>
      </c>
      <c r="H53" s="7">
        <v>0.27729999999999999</v>
      </c>
      <c r="I53" s="4">
        <v>-0.13320000000000001</v>
      </c>
      <c r="J53" s="2">
        <v>0.3</v>
      </c>
      <c r="K53" s="1" t="s">
        <v>620</v>
      </c>
      <c r="L53" s="4">
        <v>0.17867918203151201</v>
      </c>
      <c r="M53"/>
      <c r="N53"/>
      <c r="O53"/>
      <c r="P53"/>
      <c r="Q53"/>
    </row>
    <row r="54" spans="1:17" x14ac:dyDescent="0.3">
      <c r="A54" s="1" t="s">
        <v>610</v>
      </c>
      <c r="B54" s="1" t="s">
        <v>82</v>
      </c>
      <c r="C54">
        <v>1961</v>
      </c>
      <c r="D54" s="7">
        <v>0.29809999999999998</v>
      </c>
      <c r="E54" s="7">
        <v>0.2767</v>
      </c>
      <c r="F54" s="7">
        <v>0.3276</v>
      </c>
      <c r="G54" s="7">
        <v>0.26719999999999999</v>
      </c>
      <c r="H54" s="7">
        <v>0.30149999999999999</v>
      </c>
      <c r="I54" s="4">
        <v>8.7300000000000003E-2</v>
      </c>
      <c r="J54" s="2">
        <v>0.29320000000000002</v>
      </c>
      <c r="K54" s="1" t="s">
        <v>619</v>
      </c>
      <c r="L54" s="4">
        <v>0.202616571620262</v>
      </c>
      <c r="M54"/>
      <c r="N54"/>
      <c r="O54"/>
      <c r="P54"/>
      <c r="Q54"/>
    </row>
    <row r="55" spans="1:17" x14ac:dyDescent="0.3">
      <c r="A55" s="1" t="s">
        <v>609</v>
      </c>
      <c r="B55" s="1" t="s">
        <v>82</v>
      </c>
      <c r="C55">
        <v>1962</v>
      </c>
      <c r="D55" s="7">
        <v>0.29249999999999998</v>
      </c>
      <c r="E55" s="7">
        <v>0.3019</v>
      </c>
      <c r="F55" s="7">
        <v>0.3075</v>
      </c>
      <c r="G55" s="7">
        <v>0.28000000000000003</v>
      </c>
      <c r="H55" s="7">
        <v>0.28789999999999999</v>
      </c>
      <c r="I55" s="4">
        <v>-4.5100000000000001E-2</v>
      </c>
      <c r="J55" s="2">
        <v>0.29430000000000001</v>
      </c>
      <c r="K55" s="1" t="s">
        <v>620</v>
      </c>
      <c r="L55" s="4">
        <v>9.4017094017093905E-2</v>
      </c>
      <c r="M55"/>
      <c r="N55"/>
      <c r="O55"/>
      <c r="P55"/>
      <c r="Q55"/>
    </row>
    <row r="56" spans="1:17" x14ac:dyDescent="0.3">
      <c r="A56" s="1" t="s">
        <v>608</v>
      </c>
      <c r="B56" s="1" t="s">
        <v>82</v>
      </c>
      <c r="C56">
        <v>1963</v>
      </c>
      <c r="D56" s="7">
        <v>0.29759999999999998</v>
      </c>
      <c r="E56" s="7">
        <v>0.28699999999999998</v>
      </c>
      <c r="F56" s="7">
        <v>0.30459999999999998</v>
      </c>
      <c r="G56" s="7">
        <v>0.28699999999999998</v>
      </c>
      <c r="H56" s="7">
        <v>0.30459999999999998</v>
      </c>
      <c r="I56" s="4">
        <v>5.8000000000000003E-2</v>
      </c>
      <c r="J56" s="2">
        <v>0.29580000000000001</v>
      </c>
      <c r="K56" s="1" t="s">
        <v>619</v>
      </c>
      <c r="L56" s="4">
        <v>5.9139784946236597E-2</v>
      </c>
      <c r="M56"/>
      <c r="N56"/>
      <c r="O56"/>
      <c r="P56"/>
      <c r="Q56"/>
    </row>
    <row r="57" spans="1:17" x14ac:dyDescent="0.3">
      <c r="A57" s="1" t="s">
        <v>607</v>
      </c>
      <c r="B57" s="1" t="s">
        <v>82</v>
      </c>
      <c r="C57">
        <v>1964</v>
      </c>
      <c r="D57" s="7">
        <v>0.4032</v>
      </c>
      <c r="E57" s="7">
        <v>0.30549999999999999</v>
      </c>
      <c r="F57" s="7">
        <v>0.58950000000000002</v>
      </c>
      <c r="G57" s="7">
        <v>0.30449999999999999</v>
      </c>
      <c r="H57" s="7">
        <v>0.3715</v>
      </c>
      <c r="I57" s="4">
        <v>0.21959999999999999</v>
      </c>
      <c r="J57" s="2">
        <v>0.39279999999999998</v>
      </c>
      <c r="K57" s="1" t="s">
        <v>619</v>
      </c>
      <c r="L57" s="4">
        <v>0.70684523809523803</v>
      </c>
      <c r="M57"/>
      <c r="N57"/>
      <c r="O57"/>
      <c r="P57"/>
      <c r="Q57"/>
    </row>
    <row r="58" spans="1:17" x14ac:dyDescent="0.3">
      <c r="A58" s="1" t="s">
        <v>606</v>
      </c>
      <c r="B58" s="1" t="s">
        <v>82</v>
      </c>
      <c r="C58">
        <v>1965</v>
      </c>
      <c r="D58" s="7">
        <v>0.48930000000000001</v>
      </c>
      <c r="E58" s="7">
        <v>0.378</v>
      </c>
      <c r="F58" s="7">
        <v>0.60450000000000004</v>
      </c>
      <c r="G58" s="7">
        <v>0.36549999999999999</v>
      </c>
      <c r="H58" s="7">
        <v>0.57569999999999999</v>
      </c>
      <c r="I58" s="4">
        <v>0.54969999999999997</v>
      </c>
      <c r="J58" s="2">
        <v>0.48089999999999999</v>
      </c>
      <c r="K58" s="1" t="s">
        <v>619</v>
      </c>
      <c r="L58" s="4">
        <v>0.48845289188636798</v>
      </c>
      <c r="M58"/>
      <c r="N58"/>
      <c r="O58"/>
      <c r="P58"/>
      <c r="Q58"/>
    </row>
    <row r="59" spans="1:17" x14ac:dyDescent="0.3">
      <c r="A59" s="1" t="s">
        <v>605</v>
      </c>
      <c r="B59" s="1" t="s">
        <v>82</v>
      </c>
      <c r="C59">
        <v>1966</v>
      </c>
      <c r="D59" s="7">
        <v>0.63380000000000003</v>
      </c>
      <c r="E59" s="7">
        <v>0.58699999999999997</v>
      </c>
      <c r="F59" s="7">
        <v>0.82699999999999996</v>
      </c>
      <c r="G59" s="7">
        <v>0.46400000000000002</v>
      </c>
      <c r="H59" s="7">
        <v>0.5403</v>
      </c>
      <c r="I59" s="4">
        <v>-6.1499999999999999E-2</v>
      </c>
      <c r="J59" s="2">
        <v>0.60460000000000003</v>
      </c>
      <c r="K59" s="1" t="s">
        <v>620</v>
      </c>
      <c r="L59" s="4">
        <v>0.57273587882612798</v>
      </c>
      <c r="M59"/>
      <c r="N59"/>
      <c r="O59"/>
      <c r="P59"/>
      <c r="Q59"/>
    </row>
    <row r="60" spans="1:17" x14ac:dyDescent="0.3">
      <c r="A60" s="1" t="s">
        <v>604</v>
      </c>
      <c r="B60" s="1" t="s">
        <v>82</v>
      </c>
      <c r="C60">
        <v>1967</v>
      </c>
      <c r="D60" s="7">
        <v>0.49180000000000001</v>
      </c>
      <c r="E60" s="7">
        <v>0.55200000000000005</v>
      </c>
      <c r="F60" s="7">
        <v>0.64529999999999998</v>
      </c>
      <c r="G60" s="7">
        <v>0.41499999999999998</v>
      </c>
      <c r="H60" s="7">
        <v>0.57579999999999998</v>
      </c>
      <c r="I60" s="4">
        <v>6.5699999999999995E-2</v>
      </c>
      <c r="J60" s="2">
        <v>0.54700000000000004</v>
      </c>
      <c r="K60" s="1" t="s">
        <v>619</v>
      </c>
      <c r="L60" s="4">
        <v>0.46827978853192398</v>
      </c>
      <c r="M60"/>
      <c r="N60"/>
      <c r="O60"/>
      <c r="P60"/>
      <c r="Q60"/>
    </row>
    <row r="61" spans="1:17" x14ac:dyDescent="0.3">
      <c r="A61" s="1" t="s">
        <v>603</v>
      </c>
      <c r="B61" s="1" t="s">
        <v>82</v>
      </c>
      <c r="C61">
        <v>1968</v>
      </c>
      <c r="D61" s="7">
        <v>0.50800000000000001</v>
      </c>
      <c r="E61" s="7">
        <v>0.57999999999999996</v>
      </c>
      <c r="F61" s="7">
        <v>0.74</v>
      </c>
      <c r="G61" s="7">
        <v>0.433</v>
      </c>
      <c r="H61" s="7">
        <v>0.50829999999999997</v>
      </c>
      <c r="I61" s="4">
        <v>-0.1172</v>
      </c>
      <c r="J61" s="2">
        <v>0.56530000000000002</v>
      </c>
      <c r="K61" s="1" t="s">
        <v>620</v>
      </c>
      <c r="L61" s="4">
        <v>0.60433070866141703</v>
      </c>
      <c r="M61"/>
      <c r="N61"/>
      <c r="O61"/>
      <c r="P61"/>
      <c r="Q61"/>
    </row>
    <row r="62" spans="1:17" x14ac:dyDescent="0.3">
      <c r="A62" s="1" t="s">
        <v>602</v>
      </c>
      <c r="B62" s="1" t="s">
        <v>82</v>
      </c>
      <c r="C62">
        <v>1969</v>
      </c>
      <c r="D62" s="7">
        <v>0.61950000000000005</v>
      </c>
      <c r="E62" s="7">
        <v>0.51449999999999996</v>
      </c>
      <c r="F62" s="7">
        <v>0.74399999999999999</v>
      </c>
      <c r="G62" s="7">
        <v>0.504</v>
      </c>
      <c r="H62" s="7">
        <v>0.73029999999999995</v>
      </c>
      <c r="I62" s="4">
        <v>0.43669999999999998</v>
      </c>
      <c r="J62" s="2">
        <v>0.62319999999999998</v>
      </c>
      <c r="K62" s="1" t="s">
        <v>619</v>
      </c>
      <c r="L62" s="4">
        <v>0.38740920096852299</v>
      </c>
      <c r="M62"/>
      <c r="N62"/>
      <c r="O62"/>
      <c r="P62"/>
      <c r="Q62"/>
    </row>
    <row r="63" spans="1:17" x14ac:dyDescent="0.3">
      <c r="A63" s="1" t="s">
        <v>601</v>
      </c>
      <c r="B63" s="1" t="s">
        <v>82</v>
      </c>
      <c r="C63">
        <v>1970</v>
      </c>
      <c r="D63" s="7">
        <v>0.621</v>
      </c>
      <c r="E63" s="7">
        <v>0.71799999999999997</v>
      </c>
      <c r="F63" s="7">
        <v>0.77100000000000002</v>
      </c>
      <c r="G63" s="7">
        <v>0.45450000000000002</v>
      </c>
      <c r="H63" s="7">
        <v>0.46460000000000001</v>
      </c>
      <c r="I63" s="4">
        <v>-0.36380000000000001</v>
      </c>
      <c r="J63" s="2">
        <v>0.60199999999999998</v>
      </c>
      <c r="K63" s="1" t="s">
        <v>620</v>
      </c>
      <c r="L63" s="4">
        <v>0.50966183574879198</v>
      </c>
      <c r="M63"/>
      <c r="N63"/>
      <c r="O63"/>
      <c r="P63"/>
      <c r="Q63"/>
    </row>
    <row r="64" spans="1:17" x14ac:dyDescent="0.3">
      <c r="A64" s="1" t="s">
        <v>600</v>
      </c>
      <c r="B64" s="1" t="s">
        <v>82</v>
      </c>
      <c r="C64">
        <v>1971</v>
      </c>
      <c r="D64" s="7">
        <v>0.496</v>
      </c>
      <c r="E64" s="7">
        <v>0.46850000000000003</v>
      </c>
      <c r="F64" s="7">
        <v>0.58599999999999997</v>
      </c>
      <c r="G64" s="7">
        <v>0.44350000000000001</v>
      </c>
      <c r="H64" s="7">
        <v>0.48609999999999998</v>
      </c>
      <c r="I64" s="4">
        <v>4.6300000000000001E-2</v>
      </c>
      <c r="J64" s="2">
        <v>0.496</v>
      </c>
      <c r="K64" s="1" t="s">
        <v>619</v>
      </c>
      <c r="L64" s="4">
        <v>0.28729838709677402</v>
      </c>
      <c r="M64"/>
      <c r="N64"/>
      <c r="O64"/>
      <c r="P64"/>
      <c r="Q64"/>
    </row>
    <row r="65" spans="1:17" x14ac:dyDescent="0.3">
      <c r="A65" s="1" t="s">
        <v>599</v>
      </c>
      <c r="B65" s="1" t="s">
        <v>82</v>
      </c>
      <c r="C65">
        <v>1972</v>
      </c>
      <c r="D65" s="7">
        <v>0.49419999999999997</v>
      </c>
      <c r="E65" s="7">
        <v>0.48649999999999999</v>
      </c>
      <c r="F65" s="7">
        <v>0.53300000000000003</v>
      </c>
      <c r="G65" s="7">
        <v>0.46100000000000002</v>
      </c>
      <c r="H65" s="7">
        <v>0.50080000000000002</v>
      </c>
      <c r="I65" s="4">
        <v>3.0200000000000001E-2</v>
      </c>
      <c r="J65" s="2">
        <v>0.49530000000000002</v>
      </c>
      <c r="K65" s="1" t="s">
        <v>619</v>
      </c>
      <c r="L65" s="4">
        <v>0.14569000404694499</v>
      </c>
      <c r="M65"/>
      <c r="N65"/>
      <c r="O65"/>
      <c r="P65"/>
      <c r="Q65"/>
    </row>
    <row r="66" spans="1:17" x14ac:dyDescent="0.3">
      <c r="A66" s="1" t="s">
        <v>598</v>
      </c>
      <c r="B66" s="1" t="s">
        <v>82</v>
      </c>
      <c r="C66">
        <v>1973</v>
      </c>
      <c r="D66" s="7">
        <v>0.76819999999999999</v>
      </c>
      <c r="E66" s="7">
        <v>0.502</v>
      </c>
      <c r="F66" s="7">
        <v>1.0585</v>
      </c>
      <c r="G66" s="7">
        <v>0.502</v>
      </c>
      <c r="H66" s="7">
        <v>0.86719999999999997</v>
      </c>
      <c r="I66" s="4">
        <v>0.73160000000000003</v>
      </c>
      <c r="J66" s="2">
        <v>0.73240000000000005</v>
      </c>
      <c r="K66" s="1" t="s">
        <v>619</v>
      </c>
      <c r="L66" s="4">
        <v>0.724420723769852</v>
      </c>
      <c r="M66"/>
      <c r="N66"/>
      <c r="O66"/>
      <c r="P66"/>
      <c r="Q66"/>
    </row>
    <row r="67" spans="1:17" x14ac:dyDescent="0.3">
      <c r="A67" s="1" t="s">
        <v>597</v>
      </c>
      <c r="B67" s="1" t="s">
        <v>82</v>
      </c>
      <c r="C67">
        <v>1974</v>
      </c>
      <c r="D67" s="7">
        <v>0.8962</v>
      </c>
      <c r="E67" s="7">
        <v>0.85599999999999998</v>
      </c>
      <c r="F67" s="7">
        <v>1.383</v>
      </c>
      <c r="G67" s="7">
        <v>0.53359999999999996</v>
      </c>
      <c r="H67" s="7">
        <v>0.53359999999999996</v>
      </c>
      <c r="I67" s="4">
        <v>-0.38469999999999999</v>
      </c>
      <c r="J67" s="2">
        <v>0.8266</v>
      </c>
      <c r="K67" s="1" t="s">
        <v>620</v>
      </c>
      <c r="L67" s="4">
        <v>0.94777951350145095</v>
      </c>
      <c r="M67"/>
      <c r="N67"/>
      <c r="O67"/>
      <c r="P67"/>
      <c r="Q67"/>
    </row>
    <row r="68" spans="1:17" x14ac:dyDescent="0.3">
      <c r="A68" s="1" t="s">
        <v>596</v>
      </c>
      <c r="B68" s="1" t="s">
        <v>82</v>
      </c>
      <c r="C68">
        <v>1975</v>
      </c>
      <c r="D68" s="7">
        <v>0.56079999999999997</v>
      </c>
      <c r="E68" s="7">
        <v>0.53100000000000003</v>
      </c>
      <c r="F68" s="7">
        <v>0.629</v>
      </c>
      <c r="G68" s="7">
        <v>0.51600000000000001</v>
      </c>
      <c r="H68" s="7">
        <v>0.55159999999999998</v>
      </c>
      <c r="I68" s="4">
        <v>3.3700000000000001E-2</v>
      </c>
      <c r="J68" s="2">
        <v>0.55689999999999995</v>
      </c>
      <c r="K68" s="1" t="s">
        <v>619</v>
      </c>
      <c r="L68" s="4">
        <v>0.201497860199715</v>
      </c>
      <c r="M68"/>
      <c r="N68"/>
      <c r="O68"/>
      <c r="P68"/>
      <c r="Q68"/>
    </row>
    <row r="69" spans="1:17" x14ac:dyDescent="0.3">
      <c r="A69" s="1" t="s">
        <v>595</v>
      </c>
      <c r="B69" s="1" t="s">
        <v>82</v>
      </c>
      <c r="C69">
        <v>1976</v>
      </c>
      <c r="D69" s="7">
        <v>0.64670000000000005</v>
      </c>
      <c r="E69" s="7">
        <v>0.55800000000000005</v>
      </c>
      <c r="F69" s="7">
        <v>0.78300000000000003</v>
      </c>
      <c r="G69" s="7">
        <v>0.53800000000000003</v>
      </c>
      <c r="H69" s="7">
        <v>0.63039999999999996</v>
      </c>
      <c r="I69" s="4">
        <v>0.1429</v>
      </c>
      <c r="J69" s="2">
        <v>0.62739999999999996</v>
      </c>
      <c r="K69" s="1" t="s">
        <v>619</v>
      </c>
      <c r="L69" s="4">
        <v>0.37884645121385502</v>
      </c>
      <c r="M69"/>
      <c r="N69"/>
      <c r="O69"/>
      <c r="P69"/>
      <c r="Q69"/>
    </row>
    <row r="70" spans="1:17" x14ac:dyDescent="0.3">
      <c r="A70" s="1" t="s">
        <v>594</v>
      </c>
      <c r="B70" s="1" t="s">
        <v>82</v>
      </c>
      <c r="C70">
        <v>1977</v>
      </c>
      <c r="D70" s="7">
        <v>0.60740000000000005</v>
      </c>
      <c r="E70" s="7">
        <v>0.64400000000000002</v>
      </c>
      <c r="F70" s="7">
        <v>0.72399999999999998</v>
      </c>
      <c r="G70" s="7">
        <v>0.52</v>
      </c>
      <c r="H70" s="7">
        <v>0.60140000000000005</v>
      </c>
      <c r="I70" s="4">
        <v>-4.5999999999999999E-2</v>
      </c>
      <c r="J70" s="2">
        <v>0.62239999999999995</v>
      </c>
      <c r="K70" s="1" t="s">
        <v>620</v>
      </c>
      <c r="L70" s="4">
        <v>0.33585775436285797</v>
      </c>
      <c r="M70"/>
      <c r="N70"/>
      <c r="O70"/>
      <c r="P70"/>
      <c r="Q70"/>
    </row>
    <row r="71" spans="1:17" x14ac:dyDescent="0.3">
      <c r="A71" s="1" t="s">
        <v>593</v>
      </c>
      <c r="B71" s="1" t="s">
        <v>82</v>
      </c>
      <c r="C71">
        <v>1978</v>
      </c>
      <c r="D71" s="7">
        <v>0.62880000000000003</v>
      </c>
      <c r="E71" s="7">
        <v>0.61299999999999999</v>
      </c>
      <c r="F71" s="7">
        <v>0.70760000000000001</v>
      </c>
      <c r="G71" s="7">
        <v>0.55300000000000005</v>
      </c>
      <c r="H71" s="7">
        <v>0.70760000000000001</v>
      </c>
      <c r="I71" s="4">
        <v>0.17660000000000001</v>
      </c>
      <c r="J71" s="2">
        <v>0.64529999999999998</v>
      </c>
      <c r="K71" s="1" t="s">
        <v>619</v>
      </c>
      <c r="L71" s="4">
        <v>0.245865139949109</v>
      </c>
      <c r="M71"/>
      <c r="N71"/>
      <c r="O71"/>
      <c r="P71"/>
      <c r="Q71"/>
    </row>
    <row r="72" spans="1:17" x14ac:dyDescent="0.3">
      <c r="A72" s="1" t="s">
        <v>592</v>
      </c>
      <c r="B72" s="1" t="s">
        <v>82</v>
      </c>
      <c r="C72">
        <v>1979</v>
      </c>
      <c r="D72" s="7">
        <v>0.88819999999999999</v>
      </c>
      <c r="E72" s="7">
        <v>0.70050000000000001</v>
      </c>
      <c r="F72" s="7">
        <v>1.1299999999999999</v>
      </c>
      <c r="G72" s="7">
        <v>0.70050000000000001</v>
      </c>
      <c r="H72" s="7">
        <v>1.0486</v>
      </c>
      <c r="I72" s="4">
        <v>0.4819</v>
      </c>
      <c r="J72" s="2">
        <v>0.89490000000000003</v>
      </c>
      <c r="K72" s="1" t="s">
        <v>619</v>
      </c>
      <c r="L72" s="4">
        <v>0.48356226075208297</v>
      </c>
      <c r="M72"/>
      <c r="N72"/>
      <c r="O72"/>
      <c r="P72"/>
      <c r="Q72"/>
    </row>
    <row r="73" spans="1:17" x14ac:dyDescent="0.3">
      <c r="A73" s="1" t="s">
        <v>591</v>
      </c>
      <c r="B73" s="1" t="s">
        <v>82</v>
      </c>
      <c r="C73">
        <v>1980</v>
      </c>
      <c r="D73" s="7">
        <v>0.98129999999999995</v>
      </c>
      <c r="E73" s="7">
        <v>1.1020000000000001</v>
      </c>
      <c r="F73" s="7">
        <v>1.43</v>
      </c>
      <c r="G73" s="7">
        <v>0.78600000000000003</v>
      </c>
      <c r="H73" s="7">
        <v>0.8599</v>
      </c>
      <c r="I73" s="4">
        <v>-0.18</v>
      </c>
      <c r="J73" s="2">
        <v>1.0445</v>
      </c>
      <c r="K73" s="1" t="s">
        <v>620</v>
      </c>
      <c r="L73" s="4">
        <v>0.65627229185774005</v>
      </c>
      <c r="M73"/>
      <c r="N73"/>
      <c r="O73"/>
      <c r="P73"/>
      <c r="Q73"/>
    </row>
    <row r="74" spans="1:17" x14ac:dyDescent="0.3">
      <c r="A74" s="1" t="s">
        <v>590</v>
      </c>
      <c r="B74" s="1" t="s">
        <v>82</v>
      </c>
      <c r="C74">
        <v>1981</v>
      </c>
      <c r="D74" s="7">
        <v>0.79949999999999999</v>
      </c>
      <c r="E74" s="7">
        <v>0.88</v>
      </c>
      <c r="F74" s="7">
        <v>0.90900000000000003</v>
      </c>
      <c r="G74" s="7">
        <v>0.70850000000000002</v>
      </c>
      <c r="H74" s="7">
        <v>0.75339999999999996</v>
      </c>
      <c r="I74" s="4">
        <v>-0.1239</v>
      </c>
      <c r="J74" s="2">
        <v>0.81269999999999998</v>
      </c>
      <c r="K74" s="1" t="s">
        <v>620</v>
      </c>
      <c r="L74" s="4">
        <v>0.25078173858661701</v>
      </c>
      <c r="M74"/>
      <c r="N74"/>
      <c r="O74"/>
      <c r="P74"/>
      <c r="Q74"/>
    </row>
    <row r="75" spans="1:17" x14ac:dyDescent="0.3">
      <c r="A75" s="1" t="s">
        <v>589</v>
      </c>
      <c r="B75" s="1" t="s">
        <v>82</v>
      </c>
      <c r="C75">
        <v>1982</v>
      </c>
      <c r="D75" s="7">
        <v>0.66620000000000001</v>
      </c>
      <c r="E75" s="7">
        <v>0.75900000000000001</v>
      </c>
      <c r="F75" s="7">
        <v>0.75900000000000001</v>
      </c>
      <c r="G75" s="7">
        <v>0.54400000000000004</v>
      </c>
      <c r="H75" s="7">
        <v>0.69389999999999996</v>
      </c>
      <c r="I75" s="4">
        <v>-7.9000000000000001E-2</v>
      </c>
      <c r="J75" s="2">
        <v>0.68899999999999995</v>
      </c>
      <c r="K75" s="1" t="s">
        <v>620</v>
      </c>
      <c r="L75" s="4">
        <v>0.32272590813569502</v>
      </c>
      <c r="M75"/>
      <c r="N75"/>
      <c r="O75"/>
      <c r="P75"/>
      <c r="Q75"/>
    </row>
    <row r="76" spans="1:17" x14ac:dyDescent="0.3">
      <c r="A76" s="1" t="s">
        <v>588</v>
      </c>
      <c r="B76" s="1" t="s">
        <v>82</v>
      </c>
      <c r="C76">
        <v>1983</v>
      </c>
      <c r="D76" s="7">
        <v>0.72640000000000005</v>
      </c>
      <c r="E76" s="7">
        <v>0.71299999999999997</v>
      </c>
      <c r="F76" s="7">
        <v>0.81499999999999995</v>
      </c>
      <c r="G76" s="7">
        <v>0.61099999999999999</v>
      </c>
      <c r="H76" s="7">
        <v>0.66749999999999998</v>
      </c>
      <c r="I76" s="4">
        <v>-3.7999999999999999E-2</v>
      </c>
      <c r="J76" s="2">
        <v>0.7016</v>
      </c>
      <c r="K76" s="1" t="s">
        <v>620</v>
      </c>
      <c r="L76" s="4">
        <v>0.28083700440528597</v>
      </c>
      <c r="M76"/>
      <c r="N76"/>
      <c r="O76"/>
      <c r="P76"/>
      <c r="Q76"/>
    </row>
    <row r="77" spans="1:17" x14ac:dyDescent="0.3">
      <c r="A77" s="1" t="s">
        <v>587</v>
      </c>
      <c r="B77" s="1" t="s">
        <v>82</v>
      </c>
      <c r="C77">
        <v>1984</v>
      </c>
      <c r="D77" s="7">
        <v>0.61980000000000002</v>
      </c>
      <c r="E77" s="7">
        <v>0.65949999999999998</v>
      </c>
      <c r="F77" s="7">
        <v>0.71750000000000003</v>
      </c>
      <c r="G77" s="7">
        <v>0.55100000000000005</v>
      </c>
      <c r="H77" s="7">
        <v>0.57040000000000002</v>
      </c>
      <c r="I77" s="4">
        <v>-0.14549999999999999</v>
      </c>
      <c r="J77" s="2">
        <v>0.62460000000000004</v>
      </c>
      <c r="K77" s="1" t="s">
        <v>620</v>
      </c>
      <c r="L77" s="4">
        <v>0.268635043562439</v>
      </c>
      <c r="M77"/>
      <c r="N77"/>
      <c r="O77"/>
      <c r="P77"/>
      <c r="Q77"/>
    </row>
    <row r="78" spans="1:17" x14ac:dyDescent="0.3">
      <c r="A78" s="1" t="s">
        <v>586</v>
      </c>
      <c r="B78" s="1" t="s">
        <v>82</v>
      </c>
      <c r="C78">
        <v>1985</v>
      </c>
      <c r="D78" s="7">
        <v>0.61470000000000002</v>
      </c>
      <c r="E78" s="7">
        <v>0.56399999999999995</v>
      </c>
      <c r="F78" s="7">
        <v>0.65900000000000003</v>
      </c>
      <c r="G78" s="7">
        <v>0.56399999999999995</v>
      </c>
      <c r="H78" s="7">
        <v>0.64</v>
      </c>
      <c r="I78" s="4">
        <v>0.122</v>
      </c>
      <c r="J78" s="2">
        <v>0.60680000000000001</v>
      </c>
      <c r="K78" s="1" t="s">
        <v>619</v>
      </c>
      <c r="L78" s="4">
        <v>0.154546933463478</v>
      </c>
      <c r="M78"/>
      <c r="N78"/>
      <c r="O78"/>
      <c r="P78"/>
      <c r="Q78"/>
    </row>
    <row r="79" spans="1:17" x14ac:dyDescent="0.3">
      <c r="A79" s="1" t="s">
        <v>585</v>
      </c>
      <c r="B79" s="1" t="s">
        <v>82</v>
      </c>
      <c r="C79">
        <v>1986</v>
      </c>
      <c r="D79" s="7">
        <v>0.62</v>
      </c>
      <c r="E79" s="7">
        <v>0.64349999999999996</v>
      </c>
      <c r="F79" s="7">
        <v>0.68600000000000005</v>
      </c>
      <c r="G79" s="7">
        <v>0.56950000000000001</v>
      </c>
      <c r="H79" s="7">
        <v>0.61</v>
      </c>
      <c r="I79" s="4">
        <v>-4.6899999999999997E-2</v>
      </c>
      <c r="J79" s="2">
        <v>0.62719999999999998</v>
      </c>
      <c r="K79" s="1" t="s">
        <v>620</v>
      </c>
      <c r="L79" s="4">
        <v>0.187903225806452</v>
      </c>
      <c r="M79"/>
      <c r="N79"/>
      <c r="O79"/>
      <c r="P79"/>
      <c r="Q79"/>
    </row>
    <row r="80" spans="1:17" x14ac:dyDescent="0.3">
      <c r="A80" s="1" t="s">
        <v>584</v>
      </c>
      <c r="B80" s="1" t="s">
        <v>82</v>
      </c>
      <c r="C80">
        <v>1987</v>
      </c>
      <c r="D80" s="7">
        <v>0.77</v>
      </c>
      <c r="E80" s="7">
        <v>0.61350000000000005</v>
      </c>
      <c r="F80" s="7">
        <v>1.37</v>
      </c>
      <c r="G80" s="7">
        <v>0.60199999999999998</v>
      </c>
      <c r="H80" s="7">
        <v>1.3111999999999999</v>
      </c>
      <c r="I80" s="4">
        <v>1.1495</v>
      </c>
      <c r="J80" s="2">
        <v>0.97419999999999995</v>
      </c>
      <c r="K80" s="1" t="s">
        <v>619</v>
      </c>
      <c r="L80" s="4">
        <v>0.99740259740259796</v>
      </c>
      <c r="M80"/>
      <c r="N80"/>
      <c r="O80"/>
      <c r="P80"/>
      <c r="Q80"/>
    </row>
    <row r="81" spans="1:17" x14ac:dyDescent="0.3">
      <c r="A81" s="1" t="s">
        <v>583</v>
      </c>
      <c r="B81" s="1" t="s">
        <v>82</v>
      </c>
      <c r="C81">
        <v>1988</v>
      </c>
      <c r="D81" s="7">
        <v>1.0849</v>
      </c>
      <c r="E81" s="7">
        <v>1.2549999999999999</v>
      </c>
      <c r="F81" s="7">
        <v>1.56</v>
      </c>
      <c r="G81" s="7">
        <v>0.85819999999999996</v>
      </c>
      <c r="H81" s="7">
        <v>1.387</v>
      </c>
      <c r="I81" s="4">
        <v>5.7799999999999997E-2</v>
      </c>
      <c r="J81" s="2">
        <v>1.2649999999999999</v>
      </c>
      <c r="K81" s="1" t="s">
        <v>619</v>
      </c>
      <c r="L81" s="4">
        <v>0.64687989676467905</v>
      </c>
      <c r="M81"/>
      <c r="N81"/>
      <c r="O81"/>
      <c r="P81"/>
      <c r="Q81"/>
    </row>
    <row r="82" spans="1:17" x14ac:dyDescent="0.3">
      <c r="A82" s="1" t="s">
        <v>582</v>
      </c>
      <c r="B82" s="1" t="s">
        <v>82</v>
      </c>
      <c r="C82">
        <v>1989</v>
      </c>
      <c r="D82" s="7">
        <v>1.2255</v>
      </c>
      <c r="E82" s="7">
        <v>1.367</v>
      </c>
      <c r="F82" s="7">
        <v>1.4955000000000001</v>
      </c>
      <c r="G82" s="7">
        <v>0.98799999999999999</v>
      </c>
      <c r="H82" s="7">
        <v>1.0650999999999999</v>
      </c>
      <c r="I82" s="4">
        <v>-0.2321</v>
      </c>
      <c r="J82" s="2">
        <v>1.2289000000000001</v>
      </c>
      <c r="K82" s="1" t="s">
        <v>620</v>
      </c>
      <c r="L82" s="4">
        <v>0.41411668706650401</v>
      </c>
      <c r="M82"/>
      <c r="N82"/>
      <c r="O82"/>
      <c r="P82"/>
      <c r="Q82"/>
    </row>
    <row r="83" spans="1:17" x14ac:dyDescent="0.3">
      <c r="A83" s="1" t="s">
        <v>581</v>
      </c>
      <c r="B83" s="1" t="s">
        <v>82</v>
      </c>
      <c r="C83">
        <v>1990</v>
      </c>
      <c r="D83" s="7">
        <v>1.1546000000000001</v>
      </c>
      <c r="E83" s="7">
        <v>1.0620000000000001</v>
      </c>
      <c r="F83" s="7">
        <v>1.3354999999999999</v>
      </c>
      <c r="G83" s="7">
        <v>0.95650000000000002</v>
      </c>
      <c r="H83" s="7">
        <v>1.1714</v>
      </c>
      <c r="I83" s="4">
        <v>9.98E-2</v>
      </c>
      <c r="J83" s="2">
        <v>1.1314</v>
      </c>
      <c r="K83" s="1" t="s">
        <v>619</v>
      </c>
      <c r="L83" s="4">
        <v>0.32825220855707599</v>
      </c>
      <c r="M83"/>
      <c r="N83"/>
      <c r="O83"/>
      <c r="P83"/>
      <c r="Q83"/>
    </row>
    <row r="84" spans="1:17" x14ac:dyDescent="0.3">
      <c r="A84" s="1" t="s">
        <v>580</v>
      </c>
      <c r="B84" s="1" t="s">
        <v>82</v>
      </c>
      <c r="C84">
        <v>1991</v>
      </c>
      <c r="D84" s="7">
        <v>1.0414000000000001</v>
      </c>
      <c r="E84" s="7">
        <v>1.1930000000000001</v>
      </c>
      <c r="F84" s="7">
        <v>1.1930000000000001</v>
      </c>
      <c r="G84" s="7">
        <v>0.96650000000000003</v>
      </c>
      <c r="H84" s="7">
        <v>0.9738</v>
      </c>
      <c r="I84" s="4">
        <v>-0.16869999999999999</v>
      </c>
      <c r="J84" s="2">
        <v>1.0815999999999999</v>
      </c>
      <c r="K84" s="1" t="s">
        <v>620</v>
      </c>
      <c r="L84" s="4">
        <v>0.21749567889379701</v>
      </c>
      <c r="M84"/>
      <c r="N84"/>
      <c r="O84"/>
      <c r="P84"/>
      <c r="Q84"/>
    </row>
    <row r="85" spans="1:17" x14ac:dyDescent="0.3">
      <c r="A85" s="1" t="s">
        <v>579</v>
      </c>
      <c r="B85" s="1" t="s">
        <v>82</v>
      </c>
      <c r="C85">
        <v>1992</v>
      </c>
      <c r="D85" s="7">
        <v>1.0311999999999999</v>
      </c>
      <c r="E85" s="7">
        <v>0.95699999999999996</v>
      </c>
      <c r="F85" s="7">
        <v>1.1635</v>
      </c>
      <c r="G85" s="7">
        <v>0.94350000000000001</v>
      </c>
      <c r="H85" s="7">
        <v>1.0344</v>
      </c>
      <c r="I85" s="4">
        <v>6.2199999999999998E-2</v>
      </c>
      <c r="J85" s="2">
        <v>1.0246</v>
      </c>
      <c r="K85" s="1" t="s">
        <v>619</v>
      </c>
      <c r="L85" s="4">
        <v>0.213343677269201</v>
      </c>
      <c r="M85"/>
      <c r="N85"/>
      <c r="O85"/>
      <c r="P85"/>
      <c r="Q85"/>
    </row>
    <row r="86" spans="1:17" x14ac:dyDescent="0.3">
      <c r="A86" s="1" t="s">
        <v>578</v>
      </c>
      <c r="B86" s="1" t="s">
        <v>82</v>
      </c>
      <c r="C86">
        <v>1993</v>
      </c>
      <c r="D86" s="7">
        <v>0.85650000000000004</v>
      </c>
      <c r="E86" s="7">
        <v>1.0640000000000001</v>
      </c>
      <c r="F86" s="7">
        <v>1.0760000000000001</v>
      </c>
      <c r="G86" s="7">
        <v>0.72599999999999998</v>
      </c>
      <c r="H86" s="7">
        <v>0.83230000000000004</v>
      </c>
      <c r="I86" s="4">
        <v>-0.19539999999999999</v>
      </c>
      <c r="J86" s="2">
        <v>0.92459999999999998</v>
      </c>
      <c r="K86" s="1" t="s">
        <v>620</v>
      </c>
      <c r="L86" s="4">
        <v>0.40863981319322801</v>
      </c>
      <c r="M86"/>
      <c r="N86"/>
      <c r="O86"/>
      <c r="P86"/>
      <c r="Q86"/>
    </row>
    <row r="87" spans="1:17" x14ac:dyDescent="0.3">
      <c r="A87" s="1" t="s">
        <v>577</v>
      </c>
      <c r="B87" s="1" t="s">
        <v>82</v>
      </c>
      <c r="C87">
        <v>1994</v>
      </c>
      <c r="D87" s="7">
        <v>1.0652999999999999</v>
      </c>
      <c r="E87" s="7">
        <v>0.80249999999999999</v>
      </c>
      <c r="F87" s="7">
        <v>1.3895</v>
      </c>
      <c r="G87" s="7">
        <v>0.78600000000000003</v>
      </c>
      <c r="H87" s="7">
        <v>1.3895</v>
      </c>
      <c r="I87" s="4">
        <v>0.66949999999999998</v>
      </c>
      <c r="J87" s="2">
        <v>1.0919000000000001</v>
      </c>
      <c r="K87" s="1" t="s">
        <v>619</v>
      </c>
      <c r="L87" s="4">
        <v>0.56650708720548204</v>
      </c>
      <c r="M87"/>
      <c r="N87"/>
      <c r="O87"/>
      <c r="P87"/>
      <c r="Q87"/>
    </row>
    <row r="88" spans="1:17" x14ac:dyDescent="0.3">
      <c r="A88" s="1" t="s">
        <v>576</v>
      </c>
      <c r="B88" s="1" t="s">
        <v>82</v>
      </c>
      <c r="C88">
        <v>1995</v>
      </c>
      <c r="D88" s="7">
        <v>1.3262</v>
      </c>
      <c r="E88" s="7">
        <v>1.337</v>
      </c>
      <c r="F88" s="7">
        <v>1.4575</v>
      </c>
      <c r="G88" s="7">
        <v>1.2110000000000001</v>
      </c>
      <c r="H88" s="7">
        <v>1.2165999999999999</v>
      </c>
      <c r="I88" s="4">
        <v>-0.1244</v>
      </c>
      <c r="J88" s="2">
        <v>1.3055000000000001</v>
      </c>
      <c r="K88" s="1" t="s">
        <v>620</v>
      </c>
      <c r="L88" s="4">
        <v>0.18586940129693899</v>
      </c>
      <c r="M88"/>
      <c r="N88"/>
      <c r="O88"/>
      <c r="P88"/>
      <c r="Q88"/>
    </row>
    <row r="89" spans="1:17" x14ac:dyDescent="0.3">
      <c r="A89" s="1" t="s">
        <v>575</v>
      </c>
      <c r="B89" s="1" t="s">
        <v>82</v>
      </c>
      <c r="C89">
        <v>1996</v>
      </c>
      <c r="D89" s="7">
        <v>1.0385</v>
      </c>
      <c r="E89" s="7">
        <v>1.181</v>
      </c>
      <c r="F89" s="7">
        <v>1.2555000000000001</v>
      </c>
      <c r="G89" s="7">
        <v>0.84370000000000001</v>
      </c>
      <c r="H89" s="7">
        <v>1.0077</v>
      </c>
      <c r="I89" s="4">
        <v>-0.17169999999999999</v>
      </c>
      <c r="J89" s="2">
        <v>1.0720000000000001</v>
      </c>
      <c r="K89" s="1" t="s">
        <v>620</v>
      </c>
      <c r="L89" s="4">
        <v>0.39653346172364001</v>
      </c>
      <c r="M89"/>
      <c r="N89"/>
      <c r="O89"/>
      <c r="P89"/>
      <c r="Q89"/>
    </row>
    <row r="90" spans="1:17" x14ac:dyDescent="0.3">
      <c r="A90" s="1" t="s">
        <v>574</v>
      </c>
      <c r="B90" s="1" t="s">
        <v>82</v>
      </c>
      <c r="C90">
        <v>1997</v>
      </c>
      <c r="D90" s="7">
        <v>1.028</v>
      </c>
      <c r="E90" s="7">
        <v>1.0215000000000001</v>
      </c>
      <c r="F90" s="7">
        <v>1.222</v>
      </c>
      <c r="G90" s="7">
        <v>0.76980000000000004</v>
      </c>
      <c r="H90" s="7">
        <v>0.77859999999999996</v>
      </c>
      <c r="I90" s="4">
        <v>-0.2273</v>
      </c>
      <c r="J90" s="2">
        <v>0.94799999999999995</v>
      </c>
      <c r="K90" s="1" t="s">
        <v>620</v>
      </c>
      <c r="L90" s="4">
        <v>0.43988326848248999</v>
      </c>
      <c r="M90"/>
      <c r="N90"/>
      <c r="O90"/>
      <c r="P90"/>
      <c r="Q90"/>
    </row>
    <row r="91" spans="1:17" x14ac:dyDescent="0.3">
      <c r="A91" s="1" t="s">
        <v>573</v>
      </c>
      <c r="B91" s="1" t="s">
        <v>82</v>
      </c>
      <c r="C91">
        <v>1998</v>
      </c>
      <c r="D91" s="7">
        <v>0.75470000000000004</v>
      </c>
      <c r="E91" s="7">
        <v>0.77449999999999997</v>
      </c>
      <c r="F91" s="7">
        <v>0.85650000000000004</v>
      </c>
      <c r="G91" s="7">
        <v>0.65149999999999997</v>
      </c>
      <c r="H91" s="7">
        <v>0.67030000000000001</v>
      </c>
      <c r="I91" s="4">
        <v>-0.1391</v>
      </c>
      <c r="J91" s="2">
        <v>0.73819999999999997</v>
      </c>
      <c r="K91" s="1" t="s">
        <v>620</v>
      </c>
      <c r="L91" s="4">
        <v>0.27163111170001297</v>
      </c>
      <c r="M91"/>
      <c r="N91"/>
      <c r="O91"/>
      <c r="P91"/>
      <c r="Q91"/>
    </row>
    <row r="92" spans="1:17" x14ac:dyDescent="0.3">
      <c r="A92" s="1" t="s">
        <v>572</v>
      </c>
      <c r="B92" s="1" t="s">
        <v>82</v>
      </c>
      <c r="C92">
        <v>1999</v>
      </c>
      <c r="D92" s="7">
        <v>0.72650000000000003</v>
      </c>
      <c r="E92" s="7">
        <v>0.65400000000000003</v>
      </c>
      <c r="F92" s="7">
        <v>0.8609</v>
      </c>
      <c r="G92" s="7">
        <v>0.61350000000000005</v>
      </c>
      <c r="H92" s="7">
        <v>0.8609</v>
      </c>
      <c r="I92" s="4">
        <v>0.28439999999999999</v>
      </c>
      <c r="J92" s="2">
        <v>0.74729999999999996</v>
      </c>
      <c r="K92" s="1" t="s">
        <v>619</v>
      </c>
      <c r="L92" s="4">
        <v>0.34053682037164501</v>
      </c>
      <c r="M92"/>
      <c r="N92"/>
      <c r="O92"/>
      <c r="P92"/>
      <c r="Q92"/>
    </row>
    <row r="93" spans="1:17" x14ac:dyDescent="0.3">
      <c r="A93" s="1" t="s">
        <v>571</v>
      </c>
      <c r="B93" s="1" t="s">
        <v>82</v>
      </c>
      <c r="C93">
        <v>2000</v>
      </c>
      <c r="D93" s="7">
        <v>0.84370000000000001</v>
      </c>
      <c r="E93" s="7">
        <v>0.84799999999999998</v>
      </c>
      <c r="F93" s="7">
        <v>0.93600000000000005</v>
      </c>
      <c r="G93" s="7">
        <v>0.74350000000000005</v>
      </c>
      <c r="H93" s="7">
        <v>0.84370000000000001</v>
      </c>
      <c r="I93" s="4">
        <v>-0.02</v>
      </c>
      <c r="J93" s="2">
        <v>0.84279999999999999</v>
      </c>
      <c r="K93" s="1" t="s">
        <v>620</v>
      </c>
      <c r="L93" s="4">
        <v>0.22816166883963501</v>
      </c>
      <c r="M93"/>
      <c r="N93"/>
      <c r="O93"/>
      <c r="P93"/>
      <c r="Q93"/>
    </row>
    <row r="94" spans="1:17" x14ac:dyDescent="0.3">
      <c r="A94" s="1" t="s">
        <v>570</v>
      </c>
      <c r="B94" s="1" t="s">
        <v>82</v>
      </c>
      <c r="C94">
        <v>2001</v>
      </c>
      <c r="D94" s="7">
        <v>0.72950000000000004</v>
      </c>
      <c r="E94" s="7">
        <v>0.8115</v>
      </c>
      <c r="F94" s="7">
        <v>0.86150000000000004</v>
      </c>
      <c r="G94" s="7">
        <v>0.60599999999999998</v>
      </c>
      <c r="H94" s="7">
        <v>0.65780000000000005</v>
      </c>
      <c r="I94" s="4">
        <v>-0.2203</v>
      </c>
      <c r="J94" s="2">
        <v>0.73419999999999996</v>
      </c>
      <c r="K94" s="1" t="s">
        <v>620</v>
      </c>
      <c r="L94" s="4">
        <v>0.35023989033584602</v>
      </c>
      <c r="M94"/>
      <c r="N94"/>
      <c r="O94"/>
      <c r="P94"/>
      <c r="Q94"/>
    </row>
    <row r="95" spans="1:17" x14ac:dyDescent="0.3">
      <c r="A95" s="1" t="s">
        <v>569</v>
      </c>
      <c r="B95" s="1" t="s">
        <v>82</v>
      </c>
      <c r="C95">
        <v>2002</v>
      </c>
      <c r="D95" s="7">
        <v>0.71989999999999998</v>
      </c>
      <c r="E95" s="7">
        <v>0.65800000000000003</v>
      </c>
      <c r="F95" s="7">
        <v>0.78600000000000003</v>
      </c>
      <c r="G95" s="7">
        <v>0.65800000000000003</v>
      </c>
      <c r="H95" s="7">
        <v>0.70140000000000002</v>
      </c>
      <c r="I95" s="4">
        <v>6.6299999999999998E-2</v>
      </c>
      <c r="J95" s="2">
        <v>0.70079999999999998</v>
      </c>
      <c r="K95" s="1" t="s">
        <v>619</v>
      </c>
      <c r="L95" s="4">
        <v>0.177802472565634</v>
      </c>
      <c r="M95"/>
      <c r="N95"/>
      <c r="O95"/>
      <c r="P95"/>
      <c r="Q95"/>
    </row>
    <row r="96" spans="1:17" x14ac:dyDescent="0.3">
      <c r="A96" s="1" t="s">
        <v>568</v>
      </c>
      <c r="B96" s="1" t="s">
        <v>82</v>
      </c>
      <c r="C96">
        <v>2003</v>
      </c>
      <c r="D96" s="7">
        <v>0.81259999999999999</v>
      </c>
      <c r="E96" s="7">
        <v>0.71799999999999997</v>
      </c>
      <c r="F96" s="7">
        <v>1.0449999999999999</v>
      </c>
      <c r="G96" s="7">
        <v>0.71099999999999997</v>
      </c>
      <c r="H96" s="7">
        <v>1.0449999999999999</v>
      </c>
      <c r="I96" s="4">
        <v>0.4899</v>
      </c>
      <c r="J96" s="2">
        <v>0.87980000000000003</v>
      </c>
      <c r="K96" s="1" t="s">
        <v>619</v>
      </c>
      <c r="L96" s="4">
        <v>0.41102633522028098</v>
      </c>
      <c r="M96"/>
      <c r="N96"/>
      <c r="O96"/>
      <c r="P96"/>
      <c r="Q96"/>
    </row>
    <row r="97" spans="1:17" x14ac:dyDescent="0.3">
      <c r="A97" s="1" t="s">
        <v>567</v>
      </c>
      <c r="B97" s="1" t="s">
        <v>82</v>
      </c>
      <c r="C97">
        <v>2004</v>
      </c>
      <c r="D97" s="7">
        <v>1.2854000000000001</v>
      </c>
      <c r="E97" s="7">
        <v>1.087</v>
      </c>
      <c r="F97" s="7">
        <v>1.4758</v>
      </c>
      <c r="G97" s="7">
        <v>1.0665</v>
      </c>
      <c r="H97" s="7">
        <v>1.4594</v>
      </c>
      <c r="I97" s="4">
        <v>0.39660000000000001</v>
      </c>
      <c r="J97" s="2">
        <v>1.2722</v>
      </c>
      <c r="K97" s="1" t="s">
        <v>619</v>
      </c>
      <c r="L97" s="4">
        <v>0.31842228100202302</v>
      </c>
      <c r="M97"/>
      <c r="N97"/>
      <c r="O97"/>
      <c r="P97"/>
      <c r="Q97"/>
    </row>
    <row r="98" spans="1:17" x14ac:dyDescent="0.3">
      <c r="A98" s="1" t="s">
        <v>566</v>
      </c>
      <c r="B98" s="1" t="s">
        <v>82</v>
      </c>
      <c r="C98">
        <v>2005</v>
      </c>
      <c r="D98" s="7">
        <v>1.6254</v>
      </c>
      <c r="E98" s="7">
        <v>1.4735</v>
      </c>
      <c r="F98" s="7">
        <v>2.1678999999999999</v>
      </c>
      <c r="G98" s="7">
        <v>1.343</v>
      </c>
      <c r="H98" s="7">
        <v>2.0659000000000001</v>
      </c>
      <c r="I98" s="4">
        <v>0.41560000000000002</v>
      </c>
      <c r="J98" s="2">
        <v>1.7625999999999999</v>
      </c>
      <c r="K98" s="1" t="s">
        <v>619</v>
      </c>
      <c r="L98" s="4">
        <v>0.50750584471514704</v>
      </c>
      <c r="M98"/>
      <c r="N98"/>
      <c r="O98"/>
      <c r="P98"/>
      <c r="Q98"/>
    </row>
    <row r="99" spans="1:17" x14ac:dyDescent="0.3">
      <c r="A99" s="1" t="s">
        <v>565</v>
      </c>
      <c r="B99" s="1" t="s">
        <v>82</v>
      </c>
      <c r="C99">
        <v>2006</v>
      </c>
      <c r="D99" s="7">
        <v>3.0596999999999999</v>
      </c>
      <c r="E99" s="7">
        <v>2.0485000000000002</v>
      </c>
      <c r="F99" s="7">
        <v>3.923</v>
      </c>
      <c r="G99" s="7">
        <v>2.0485000000000002</v>
      </c>
      <c r="H99" s="7">
        <v>2.8675999999999999</v>
      </c>
      <c r="I99" s="4">
        <v>0.3881</v>
      </c>
      <c r="J99" s="2">
        <v>2.7219000000000002</v>
      </c>
      <c r="K99" s="1" t="s">
        <v>619</v>
      </c>
      <c r="L99" s="4">
        <v>0.61264176226427403</v>
      </c>
      <c r="M99"/>
      <c r="N99"/>
      <c r="O99"/>
      <c r="P99"/>
      <c r="Q99"/>
    </row>
    <row r="100" spans="1:17" x14ac:dyDescent="0.3">
      <c r="A100" s="1" t="s">
        <v>564</v>
      </c>
      <c r="B100" s="1" t="s">
        <v>82</v>
      </c>
      <c r="C100">
        <v>2007</v>
      </c>
      <c r="D100" s="7">
        <v>3.2317</v>
      </c>
      <c r="E100" s="7">
        <v>2.649</v>
      </c>
      <c r="F100" s="7">
        <v>3.7635000000000001</v>
      </c>
      <c r="G100" s="7">
        <v>2.4165000000000001</v>
      </c>
      <c r="H100" s="7">
        <v>3.0388999999999999</v>
      </c>
      <c r="I100" s="4">
        <v>5.9700000000000003E-2</v>
      </c>
      <c r="J100" s="2">
        <v>2.9670000000000001</v>
      </c>
      <c r="K100" s="1" t="s">
        <v>619</v>
      </c>
      <c r="L100" s="4">
        <v>0.416808490887149</v>
      </c>
      <c r="M100"/>
      <c r="N100"/>
      <c r="O100"/>
      <c r="P100"/>
      <c r="Q100"/>
    </row>
    <row r="101" spans="1:17" x14ac:dyDescent="0.3">
      <c r="A101" s="1" t="s">
        <v>563</v>
      </c>
      <c r="B101" s="1" t="s">
        <v>82</v>
      </c>
      <c r="C101">
        <v>2008</v>
      </c>
      <c r="D101" s="7">
        <v>3.1145</v>
      </c>
      <c r="E101" s="7">
        <v>3.0640000000000001</v>
      </c>
      <c r="F101" s="7">
        <v>4.0635000000000003</v>
      </c>
      <c r="G101" s="7">
        <v>1.2595000000000001</v>
      </c>
      <c r="H101" s="7">
        <v>1.407</v>
      </c>
      <c r="I101" s="4">
        <v>-0.53700000000000003</v>
      </c>
      <c r="J101" s="2">
        <v>2.4485000000000001</v>
      </c>
      <c r="K101" s="1" t="s">
        <v>620</v>
      </c>
      <c r="L101" s="4">
        <v>0.90030502488360897</v>
      </c>
      <c r="M101"/>
      <c r="N101"/>
      <c r="O101"/>
      <c r="P101"/>
      <c r="Q101"/>
    </row>
    <row r="102" spans="1:17" x14ac:dyDescent="0.3">
      <c r="A102" s="1" t="s">
        <v>562</v>
      </c>
      <c r="B102" s="1" t="s">
        <v>82</v>
      </c>
      <c r="C102">
        <v>2009</v>
      </c>
      <c r="D102" s="7">
        <v>2.3721000000000001</v>
      </c>
      <c r="E102" s="7">
        <v>1.4610000000000001</v>
      </c>
      <c r="F102" s="7">
        <v>3.3426999999999998</v>
      </c>
      <c r="G102" s="7">
        <v>1.3959999999999999</v>
      </c>
      <c r="H102" s="7">
        <v>3.3426999999999998</v>
      </c>
      <c r="I102" s="4">
        <v>1.3757999999999999</v>
      </c>
      <c r="J102" s="2">
        <v>2.3856000000000002</v>
      </c>
      <c r="K102" s="1" t="s">
        <v>619</v>
      </c>
      <c r="L102" s="4">
        <v>0.82066523333754904</v>
      </c>
      <c r="M102"/>
      <c r="N102"/>
      <c r="O102"/>
      <c r="P102"/>
      <c r="Q102"/>
    </row>
    <row r="103" spans="1:17" x14ac:dyDescent="0.3">
      <c r="A103" s="1" t="s">
        <v>561</v>
      </c>
      <c r="B103" s="1" t="s">
        <v>82</v>
      </c>
      <c r="C103">
        <v>2010</v>
      </c>
      <c r="D103" s="7">
        <v>3.4361000000000002</v>
      </c>
      <c r="E103" s="7">
        <v>3.4060000000000001</v>
      </c>
      <c r="F103" s="7">
        <v>4.4455</v>
      </c>
      <c r="G103" s="7">
        <v>2.766</v>
      </c>
      <c r="H103" s="7">
        <v>4.4455</v>
      </c>
      <c r="I103" s="4">
        <v>0.32990000000000003</v>
      </c>
      <c r="J103" s="2">
        <v>3.7658</v>
      </c>
      <c r="K103" s="1" t="s">
        <v>619</v>
      </c>
      <c r="L103" s="4">
        <v>0.48878088530601599</v>
      </c>
      <c r="M103"/>
      <c r="N103"/>
      <c r="O103"/>
      <c r="P103"/>
      <c r="Q103"/>
    </row>
    <row r="104" spans="1:17" x14ac:dyDescent="0.3">
      <c r="A104" s="1" t="s">
        <v>560</v>
      </c>
      <c r="B104" s="1" t="s">
        <v>82</v>
      </c>
      <c r="C104">
        <v>2011</v>
      </c>
      <c r="D104" s="7">
        <v>4.0038999999999998</v>
      </c>
      <c r="E104" s="7">
        <v>4.4574999999999996</v>
      </c>
      <c r="F104" s="7">
        <v>4.6284999999999998</v>
      </c>
      <c r="G104" s="7">
        <v>3.0575000000000001</v>
      </c>
      <c r="H104" s="7">
        <v>3.4350999999999998</v>
      </c>
      <c r="I104" s="4">
        <v>-0.2273</v>
      </c>
      <c r="J104" s="2">
        <v>3.8946000000000001</v>
      </c>
      <c r="K104" s="1" t="s">
        <v>620</v>
      </c>
      <c r="L104" s="4">
        <v>0.39236744174429899</v>
      </c>
      <c r="M104"/>
      <c r="N104"/>
      <c r="O104"/>
      <c r="P104"/>
      <c r="Q104"/>
    </row>
    <row r="105" spans="1:17" x14ac:dyDescent="0.3">
      <c r="A105" s="1" t="s">
        <v>559</v>
      </c>
      <c r="B105" s="1" t="s">
        <v>82</v>
      </c>
      <c r="C105">
        <v>2012</v>
      </c>
      <c r="D105" s="7">
        <v>3.6101000000000001</v>
      </c>
      <c r="E105" s="7">
        <v>3.5285000000000002</v>
      </c>
      <c r="F105" s="7">
        <v>3.9784999999999999</v>
      </c>
      <c r="G105" s="7">
        <v>3.2850000000000001</v>
      </c>
      <c r="H105" s="7">
        <v>3.6501999999999999</v>
      </c>
      <c r="I105" s="4">
        <v>6.2600000000000003E-2</v>
      </c>
      <c r="J105" s="2">
        <v>3.6105999999999998</v>
      </c>
      <c r="K105" s="1" t="s">
        <v>619</v>
      </c>
      <c r="L105" s="4">
        <v>0.19209994182986601</v>
      </c>
      <c r="M105"/>
      <c r="N105"/>
      <c r="O105"/>
      <c r="P105"/>
      <c r="Q105"/>
    </row>
    <row r="106" spans="1:17" x14ac:dyDescent="0.3">
      <c r="A106" s="1" t="s">
        <v>558</v>
      </c>
      <c r="B106" s="1" t="s">
        <v>82</v>
      </c>
      <c r="C106">
        <v>2013</v>
      </c>
      <c r="D106" s="7">
        <v>3.3384999999999998</v>
      </c>
      <c r="E106" s="7">
        <v>3.7360000000000002</v>
      </c>
      <c r="F106" s="7">
        <v>3.7845</v>
      </c>
      <c r="G106" s="7">
        <v>3.0245000000000002</v>
      </c>
      <c r="H106" s="7">
        <v>3.4055</v>
      </c>
      <c r="I106" s="4">
        <v>-6.7000000000000004E-2</v>
      </c>
      <c r="J106" s="2">
        <v>3.4876</v>
      </c>
      <c r="K106" s="1" t="s">
        <v>620</v>
      </c>
      <c r="L106" s="4">
        <v>0.22764714692227001</v>
      </c>
      <c r="M106"/>
      <c r="N106"/>
      <c r="O106"/>
      <c r="P106"/>
      <c r="Q106"/>
    </row>
    <row r="107" spans="1:17" x14ac:dyDescent="0.3">
      <c r="A107" s="1" t="s">
        <v>557</v>
      </c>
      <c r="B107" s="1" t="s">
        <v>82</v>
      </c>
      <c r="C107">
        <v>2014</v>
      </c>
      <c r="D107" s="7">
        <v>3.1057999999999999</v>
      </c>
      <c r="E107" s="7">
        <v>3.3815</v>
      </c>
      <c r="F107" s="7">
        <v>3.3815</v>
      </c>
      <c r="G107" s="7">
        <v>2.8266</v>
      </c>
      <c r="H107" s="7">
        <v>2.8281000000000001</v>
      </c>
      <c r="I107" s="4">
        <v>-0.16950000000000001</v>
      </c>
      <c r="J107" s="2">
        <v>3.1044</v>
      </c>
      <c r="K107" s="1" t="s">
        <v>620</v>
      </c>
      <c r="L107" s="4">
        <v>0.17866572219717899</v>
      </c>
      <c r="M107"/>
      <c r="N107"/>
      <c r="O107"/>
      <c r="P107"/>
      <c r="Q107"/>
    </row>
    <row r="108" spans="1:17" x14ac:dyDescent="0.3">
      <c r="A108" s="1" t="s">
        <v>556</v>
      </c>
      <c r="B108" s="1" t="s">
        <v>82</v>
      </c>
      <c r="C108">
        <v>2015</v>
      </c>
      <c r="D108" s="7">
        <v>2.4946999999999999</v>
      </c>
      <c r="E108" s="7">
        <v>2.8174999999999999</v>
      </c>
      <c r="F108" s="7">
        <v>2.9350000000000001</v>
      </c>
      <c r="G108" s="7">
        <v>2.0209999999999999</v>
      </c>
      <c r="H108" s="7">
        <v>2.1331000000000002</v>
      </c>
      <c r="I108" s="4">
        <v>-0.2457</v>
      </c>
      <c r="J108" s="2">
        <v>2.4765999999999999</v>
      </c>
      <c r="K108" s="1" t="s">
        <v>620</v>
      </c>
      <c r="L108" s="4">
        <v>0.366376718643524</v>
      </c>
      <c r="M108"/>
      <c r="N108"/>
      <c r="O108"/>
      <c r="P108"/>
      <c r="Q108"/>
    </row>
    <row r="109" spans="1:17" x14ac:dyDescent="0.3">
      <c r="A109" s="1" t="s">
        <v>555</v>
      </c>
      <c r="B109" s="1" t="s">
        <v>82</v>
      </c>
      <c r="C109">
        <v>2016</v>
      </c>
      <c r="D109" s="7">
        <v>2.2010000000000001</v>
      </c>
      <c r="E109" s="7">
        <v>2.0794999999999999</v>
      </c>
      <c r="F109" s="7">
        <v>2.6915</v>
      </c>
      <c r="G109" s="7">
        <v>1.9435</v>
      </c>
      <c r="H109" s="7">
        <v>2.5038999999999998</v>
      </c>
      <c r="I109" s="4">
        <v>0.17380000000000001</v>
      </c>
      <c r="J109" s="2">
        <v>2.3046000000000002</v>
      </c>
      <c r="K109" s="1" t="s">
        <v>619</v>
      </c>
      <c r="L109" s="4">
        <v>0.33984552476147201</v>
      </c>
      <c r="M109"/>
      <c r="N109"/>
      <c r="O109"/>
      <c r="P109"/>
      <c r="Q109"/>
    </row>
    <row r="110" spans="1:17" x14ac:dyDescent="0.3">
      <c r="A110" s="1" t="s">
        <v>554</v>
      </c>
      <c r="B110" s="1" t="s">
        <v>82</v>
      </c>
      <c r="C110">
        <v>2017</v>
      </c>
      <c r="D110" s="7">
        <v>2.8128000000000002</v>
      </c>
      <c r="E110" s="7">
        <v>2.4889999999999999</v>
      </c>
      <c r="F110" s="7">
        <v>3.2995000000000001</v>
      </c>
      <c r="G110" s="7">
        <v>2.4889999999999999</v>
      </c>
      <c r="H110" s="7">
        <v>3.2963</v>
      </c>
      <c r="I110" s="4">
        <v>0.3165</v>
      </c>
      <c r="J110" s="2">
        <v>2.8934000000000002</v>
      </c>
      <c r="K110" s="1" t="s">
        <v>619</v>
      </c>
      <c r="L110" s="4">
        <v>0.28814704209328801</v>
      </c>
      <c r="M110"/>
      <c r="N110"/>
      <c r="O110"/>
      <c r="P110"/>
      <c r="Q110"/>
    </row>
    <row r="111" spans="1:17" x14ac:dyDescent="0.3">
      <c r="A111" s="1" t="s">
        <v>553</v>
      </c>
      <c r="B111" s="1" t="s">
        <v>82</v>
      </c>
      <c r="C111">
        <v>2018</v>
      </c>
      <c r="D111" s="7">
        <v>2.9333</v>
      </c>
      <c r="E111" s="7">
        <v>3.278</v>
      </c>
      <c r="F111" s="7">
        <v>3.3</v>
      </c>
      <c r="G111" s="7">
        <v>2.56</v>
      </c>
      <c r="H111" s="7">
        <v>2.6303999999999998</v>
      </c>
      <c r="I111" s="4">
        <v>-0.20200000000000001</v>
      </c>
      <c r="J111" s="2">
        <v>2.9420999999999999</v>
      </c>
      <c r="K111" s="1" t="s">
        <v>620</v>
      </c>
      <c r="L111" s="4">
        <v>0.25227559404084099</v>
      </c>
      <c r="M111"/>
      <c r="N111"/>
      <c r="O111"/>
      <c r="P111"/>
      <c r="Q111"/>
    </row>
    <row r="112" spans="1:17" x14ac:dyDescent="0.3">
      <c r="A112" s="1" t="s">
        <v>552</v>
      </c>
      <c r="B112" s="1" t="s">
        <v>82</v>
      </c>
      <c r="C112">
        <v>2019</v>
      </c>
      <c r="D112" s="7">
        <v>2.7218</v>
      </c>
      <c r="E112" s="7">
        <v>2.6230000000000002</v>
      </c>
      <c r="F112" s="7">
        <v>2.9674999999999998</v>
      </c>
      <c r="G112" s="7">
        <v>2.528</v>
      </c>
      <c r="H112" s="7">
        <v>2.7964000000000002</v>
      </c>
      <c r="I112" s="4">
        <v>6.3100000000000003E-2</v>
      </c>
      <c r="J112" s="2">
        <v>2.7286999999999999</v>
      </c>
      <c r="K112" s="1" t="s">
        <v>619</v>
      </c>
      <c r="L112" s="4">
        <v>0.161474024542582</v>
      </c>
      <c r="M112"/>
      <c r="N112"/>
      <c r="O112"/>
      <c r="P112"/>
      <c r="Q112"/>
    </row>
    <row r="113" spans="1:17" x14ac:dyDescent="0.3">
      <c r="A113" s="1" t="s">
        <v>551</v>
      </c>
      <c r="B113" s="1" t="s">
        <v>82</v>
      </c>
      <c r="C113">
        <v>2020</v>
      </c>
      <c r="D113" s="7">
        <v>2.8012999999999999</v>
      </c>
      <c r="E113" s="7">
        <v>2.8250000000000002</v>
      </c>
      <c r="F113" s="7">
        <v>3.6274999999999999</v>
      </c>
      <c r="G113" s="7">
        <v>2.1004999999999998</v>
      </c>
      <c r="H113" s="7">
        <v>3.5179999999999998</v>
      </c>
      <c r="I113" s="4">
        <v>0.25800000000000001</v>
      </c>
      <c r="J113" s="2">
        <v>3.0177999999999998</v>
      </c>
      <c r="K113" s="1" t="s">
        <v>619</v>
      </c>
      <c r="L113" s="4">
        <v>0.54510405882982904</v>
      </c>
      <c r="M113"/>
      <c r="N113"/>
      <c r="O113"/>
      <c r="P113"/>
      <c r="Q113"/>
    </row>
    <row r="114" spans="1:17" x14ac:dyDescent="0.3">
      <c r="A114" s="1" t="s">
        <v>550</v>
      </c>
      <c r="B114" s="1" t="s">
        <v>82</v>
      </c>
      <c r="C114">
        <v>2021</v>
      </c>
      <c r="D114" s="7">
        <v>4.2445000000000004</v>
      </c>
      <c r="E114" s="7">
        <v>3.5545</v>
      </c>
      <c r="F114" s="7">
        <v>4.7619999999999996</v>
      </c>
      <c r="G114" s="7">
        <v>3.5245000000000002</v>
      </c>
      <c r="H114" s="7">
        <v>4.4618000000000002</v>
      </c>
      <c r="I114" s="4">
        <v>0.26829999999999998</v>
      </c>
      <c r="J114" s="2">
        <v>4.0757000000000003</v>
      </c>
      <c r="K114" s="1" t="s">
        <v>619</v>
      </c>
      <c r="L114" s="4">
        <v>0.29155377547414302</v>
      </c>
      <c r="M114"/>
      <c r="N114"/>
      <c r="O114"/>
      <c r="P114"/>
      <c r="Q114"/>
    </row>
    <row r="115" spans="1:17" x14ac:dyDescent="0.3">
      <c r="A115" s="1" t="s">
        <v>549</v>
      </c>
      <c r="B115" s="1" t="s">
        <v>82</v>
      </c>
      <c r="C115">
        <v>2022</v>
      </c>
      <c r="D115" s="7">
        <v>3.9969000000000001</v>
      </c>
      <c r="E115" s="7">
        <v>4.4215</v>
      </c>
      <c r="F115" s="7">
        <v>4.9375</v>
      </c>
      <c r="G115" s="7">
        <v>3.2271999999999998</v>
      </c>
      <c r="H115" s="7">
        <v>3.8191999999999999</v>
      </c>
      <c r="I115" s="4">
        <v>-0.14399999999999999</v>
      </c>
      <c r="J115" s="2">
        <v>4.1013999999999999</v>
      </c>
      <c r="K115" s="1" t="s">
        <v>620</v>
      </c>
      <c r="L115" s="4">
        <v>0.42790662763641801</v>
      </c>
      <c r="M115"/>
      <c r="N115"/>
      <c r="O115"/>
      <c r="P115"/>
      <c r="Q115"/>
    </row>
    <row r="116" spans="1:17" x14ac:dyDescent="0.3">
      <c r="A116" s="1" t="s">
        <v>548</v>
      </c>
      <c r="B116" s="1" t="s">
        <v>82</v>
      </c>
      <c r="C116">
        <v>2023</v>
      </c>
      <c r="D116" s="7">
        <v>3.8662000000000001</v>
      </c>
      <c r="E116" s="7">
        <v>3.8191999999999999</v>
      </c>
      <c r="F116" s="7">
        <v>4.2864000000000004</v>
      </c>
      <c r="G116" s="7">
        <v>3.5728</v>
      </c>
      <c r="H116" s="7">
        <v>3.8912</v>
      </c>
      <c r="I116" s="4">
        <v>1.89E-2</v>
      </c>
      <c r="J116" s="2">
        <v>3.8923999999999999</v>
      </c>
      <c r="K116" s="1" t="s">
        <v>619</v>
      </c>
      <c r="L116" s="4">
        <v>0.18457400031038201</v>
      </c>
      <c r="M116"/>
      <c r="N116"/>
      <c r="O116"/>
      <c r="P116"/>
      <c r="Q116"/>
    </row>
    <row r="117" spans="1:17" x14ac:dyDescent="0.3">
      <c r="A117" s="1" t="s">
        <v>547</v>
      </c>
      <c r="B117" s="1" t="s">
        <v>82</v>
      </c>
      <c r="C117">
        <v>2024</v>
      </c>
      <c r="D117" s="7">
        <v>4.1703000000000001</v>
      </c>
      <c r="E117" s="7">
        <v>3.8912</v>
      </c>
      <c r="F117" s="7">
        <v>5.1055999999999999</v>
      </c>
      <c r="G117" s="7">
        <v>3.6863999999999999</v>
      </c>
      <c r="H117" s="7">
        <v>4.4463999999999997</v>
      </c>
      <c r="I117" s="4">
        <v>0.14269999999999999</v>
      </c>
      <c r="J117" s="2">
        <v>4.2824</v>
      </c>
      <c r="K117" s="1" t="s">
        <v>619</v>
      </c>
      <c r="L117" s="4">
        <v>0.34031124859122802</v>
      </c>
      <c r="M117"/>
      <c r="N117"/>
      <c r="O117"/>
      <c r="P117"/>
      <c r="Q117"/>
    </row>
    <row r="118" spans="1:17" x14ac:dyDescent="0.3">
      <c r="A118" s="1" t="s">
        <v>481</v>
      </c>
      <c r="B118" s="1" t="s">
        <v>80</v>
      </c>
      <c r="C118">
        <v>1960</v>
      </c>
      <c r="D118" s="7">
        <v>1.1392</v>
      </c>
      <c r="E118" s="7">
        <v>1.1399999999999999</v>
      </c>
      <c r="F118" s="7">
        <v>1.2170000000000001</v>
      </c>
      <c r="G118" s="7">
        <v>1.0069999999999999</v>
      </c>
      <c r="H118" s="7">
        <v>1.093</v>
      </c>
      <c r="I118" s="4">
        <v>-3.8699999999999998E-2</v>
      </c>
      <c r="J118" s="2">
        <v>1.1142000000000001</v>
      </c>
      <c r="K118" s="1" t="s">
        <v>620</v>
      </c>
      <c r="L118" s="4">
        <v>0.18433988764045001</v>
      </c>
      <c r="M118"/>
      <c r="N118"/>
      <c r="O118"/>
      <c r="P118"/>
      <c r="Q118"/>
    </row>
    <row r="119" spans="1:17" x14ac:dyDescent="0.3">
      <c r="A119" s="1" t="s">
        <v>480</v>
      </c>
      <c r="B119" s="1" t="s">
        <v>80</v>
      </c>
      <c r="C119">
        <v>1961</v>
      </c>
      <c r="D119" s="7">
        <v>1.129</v>
      </c>
      <c r="E119" s="7">
        <v>1.1020000000000001</v>
      </c>
      <c r="F119" s="7">
        <v>1.1930000000000001</v>
      </c>
      <c r="G119" s="7">
        <v>1.077</v>
      </c>
      <c r="H119" s="7">
        <v>1.1060000000000001</v>
      </c>
      <c r="I119" s="4">
        <v>1.1900000000000001E-2</v>
      </c>
      <c r="J119" s="2">
        <v>1.1194999999999999</v>
      </c>
      <c r="K119" s="1" t="s">
        <v>619</v>
      </c>
      <c r="L119" s="4">
        <v>0.102745792736935</v>
      </c>
      <c r="M119"/>
      <c r="N119"/>
      <c r="O119"/>
      <c r="P119"/>
      <c r="Q119"/>
    </row>
    <row r="120" spans="1:17" x14ac:dyDescent="0.3">
      <c r="A120" s="1" t="s">
        <v>479</v>
      </c>
      <c r="B120" s="1" t="s">
        <v>80</v>
      </c>
      <c r="C120">
        <v>1962</v>
      </c>
      <c r="D120" s="7">
        <v>1.0952</v>
      </c>
      <c r="E120" s="7">
        <v>1.105</v>
      </c>
      <c r="F120" s="7">
        <v>1.171</v>
      </c>
      <c r="G120" s="7">
        <v>1.04</v>
      </c>
      <c r="H120" s="7">
        <v>1.1259999999999999</v>
      </c>
      <c r="I120" s="4">
        <v>1.8100000000000002E-2</v>
      </c>
      <c r="J120" s="2">
        <v>1.1105</v>
      </c>
      <c r="K120" s="1" t="s">
        <v>619</v>
      </c>
      <c r="L120" s="4">
        <v>0.119612856099343</v>
      </c>
      <c r="M120"/>
      <c r="N120"/>
      <c r="O120"/>
      <c r="P120"/>
      <c r="Q120"/>
    </row>
    <row r="121" spans="1:17" x14ac:dyDescent="0.3">
      <c r="A121" s="1" t="s">
        <v>478</v>
      </c>
      <c r="B121" s="1" t="s">
        <v>80</v>
      </c>
      <c r="C121">
        <v>1963</v>
      </c>
      <c r="D121" s="7">
        <v>1.1929000000000001</v>
      </c>
      <c r="E121" s="7">
        <v>1.1339999999999999</v>
      </c>
      <c r="F121" s="7">
        <v>1.272</v>
      </c>
      <c r="G121" s="7">
        <v>1.1240000000000001</v>
      </c>
      <c r="H121" s="7">
        <v>1.2010000000000001</v>
      </c>
      <c r="I121" s="4">
        <v>6.6600000000000006E-2</v>
      </c>
      <c r="J121" s="2">
        <v>1.1828000000000001</v>
      </c>
      <c r="K121" s="1" t="s">
        <v>619</v>
      </c>
      <c r="L121" s="4">
        <v>0.12406739877609201</v>
      </c>
      <c r="M121"/>
      <c r="N121"/>
      <c r="O121"/>
      <c r="P121"/>
      <c r="Q121"/>
    </row>
    <row r="122" spans="1:17" x14ac:dyDescent="0.3">
      <c r="A122" s="1" t="s">
        <v>477</v>
      </c>
      <c r="B122" s="1" t="s">
        <v>80</v>
      </c>
      <c r="C122">
        <v>1964</v>
      </c>
      <c r="D122" s="7">
        <v>1.2174</v>
      </c>
      <c r="E122" s="7">
        <v>1.1910000000000001</v>
      </c>
      <c r="F122" s="7">
        <v>1.2709999999999999</v>
      </c>
      <c r="G122" s="7">
        <v>1.171</v>
      </c>
      <c r="H122" s="7">
        <v>1.2629999999999999</v>
      </c>
      <c r="I122" s="4">
        <v>5.16E-2</v>
      </c>
      <c r="J122" s="2">
        <v>1.224</v>
      </c>
      <c r="K122" s="1" t="s">
        <v>619</v>
      </c>
      <c r="L122" s="4">
        <v>8.2142270412354099E-2</v>
      </c>
      <c r="M122"/>
      <c r="N122"/>
      <c r="O122"/>
      <c r="P122"/>
      <c r="Q122"/>
    </row>
    <row r="123" spans="1:17" x14ac:dyDescent="0.3">
      <c r="A123" s="1" t="s">
        <v>476</v>
      </c>
      <c r="B123" s="1" t="s">
        <v>80</v>
      </c>
      <c r="C123">
        <v>1965</v>
      </c>
      <c r="D123" s="7">
        <v>1.2532000000000001</v>
      </c>
      <c r="E123" s="7">
        <v>1.2609999999999999</v>
      </c>
      <c r="F123" s="7">
        <v>1.3460000000000001</v>
      </c>
      <c r="G123" s="7">
        <v>1.1399999999999999</v>
      </c>
      <c r="H123" s="7">
        <v>1.2470000000000001</v>
      </c>
      <c r="I123" s="4">
        <v>-1.2699999999999999E-2</v>
      </c>
      <c r="J123" s="2">
        <v>1.2484999999999999</v>
      </c>
      <c r="K123" s="1" t="s">
        <v>620</v>
      </c>
      <c r="L123" s="4">
        <v>0.164379189275455</v>
      </c>
      <c r="M123"/>
      <c r="N123"/>
      <c r="O123"/>
      <c r="P123"/>
      <c r="Q123"/>
    </row>
    <row r="124" spans="1:17" x14ac:dyDescent="0.3">
      <c r="A124" s="1" t="s">
        <v>475</v>
      </c>
      <c r="B124" s="1" t="s">
        <v>80</v>
      </c>
      <c r="C124">
        <v>1966</v>
      </c>
      <c r="D124" s="7">
        <v>1.3445</v>
      </c>
      <c r="E124" s="7">
        <v>1.2629999999999999</v>
      </c>
      <c r="F124" s="7">
        <v>1.51</v>
      </c>
      <c r="G124" s="7">
        <v>1.2410000000000001</v>
      </c>
      <c r="H124" s="7">
        <v>1.42</v>
      </c>
      <c r="I124" s="4">
        <v>0.13869999999999999</v>
      </c>
      <c r="J124" s="2">
        <v>1.3585</v>
      </c>
      <c r="K124" s="1" t="s">
        <v>619</v>
      </c>
      <c r="L124" s="4">
        <v>0.20007437709185599</v>
      </c>
      <c r="M124"/>
      <c r="N124"/>
      <c r="O124"/>
      <c r="P124"/>
      <c r="Q124"/>
    </row>
    <row r="125" spans="1:17" x14ac:dyDescent="0.3">
      <c r="A125" s="1" t="s">
        <v>474</v>
      </c>
      <c r="B125" s="1" t="s">
        <v>80</v>
      </c>
      <c r="C125">
        <v>1967</v>
      </c>
      <c r="D125" s="7">
        <v>1.2776000000000001</v>
      </c>
      <c r="E125" s="7">
        <v>1.4159999999999999</v>
      </c>
      <c r="F125" s="7">
        <v>1.4410000000000001</v>
      </c>
      <c r="G125" s="7">
        <v>1.1200000000000001</v>
      </c>
      <c r="H125" s="7">
        <v>1.1830000000000001</v>
      </c>
      <c r="I125" s="4">
        <v>-0.16689999999999999</v>
      </c>
      <c r="J125" s="2">
        <v>1.29</v>
      </c>
      <c r="K125" s="1" t="s">
        <v>620</v>
      </c>
      <c r="L125" s="4">
        <v>0.25125234815278602</v>
      </c>
      <c r="M125"/>
      <c r="N125"/>
      <c r="O125"/>
      <c r="P125"/>
      <c r="Q125"/>
    </row>
    <row r="126" spans="1:17" x14ac:dyDescent="0.3">
      <c r="A126" s="1" t="s">
        <v>473</v>
      </c>
      <c r="B126" s="1" t="s">
        <v>80</v>
      </c>
      <c r="C126">
        <v>1968</v>
      </c>
      <c r="D126" s="7">
        <v>1.1369</v>
      </c>
      <c r="E126" s="7">
        <v>1.177</v>
      </c>
      <c r="F126" s="7">
        <v>1.23</v>
      </c>
      <c r="G126" s="7">
        <v>1.014</v>
      </c>
      <c r="H126" s="7">
        <v>1.1788000000000001</v>
      </c>
      <c r="I126" s="4">
        <v>-3.5999999999999999E-3</v>
      </c>
      <c r="J126" s="2">
        <v>1.1499999999999999</v>
      </c>
      <c r="K126" s="1" t="s">
        <v>620</v>
      </c>
      <c r="L126" s="4">
        <v>0.18999032456680401</v>
      </c>
      <c r="M126"/>
      <c r="N126"/>
      <c r="O126"/>
      <c r="P126"/>
      <c r="Q126"/>
    </row>
    <row r="127" spans="1:17" x14ac:dyDescent="0.3">
      <c r="A127" s="1" t="s">
        <v>472</v>
      </c>
      <c r="B127" s="1" t="s">
        <v>80</v>
      </c>
      <c r="C127">
        <v>1969</v>
      </c>
      <c r="D127" s="7">
        <v>1.2093</v>
      </c>
      <c r="E127" s="7">
        <v>1.1738</v>
      </c>
      <c r="F127" s="7">
        <v>1.3125</v>
      </c>
      <c r="G127" s="7">
        <v>1.1488</v>
      </c>
      <c r="H127" s="7">
        <v>1.2113</v>
      </c>
      <c r="I127" s="4">
        <v>2.76E-2</v>
      </c>
      <c r="J127" s="2">
        <v>1.2116</v>
      </c>
      <c r="K127" s="1" t="s">
        <v>619</v>
      </c>
      <c r="L127" s="4">
        <v>0.13536756801455399</v>
      </c>
      <c r="M127"/>
      <c r="N127"/>
      <c r="O127"/>
      <c r="P127"/>
      <c r="Q127"/>
    </row>
    <row r="128" spans="1:17" x14ac:dyDescent="0.3">
      <c r="A128" s="1" t="s">
        <v>471</v>
      </c>
      <c r="B128" s="1" t="s">
        <v>80</v>
      </c>
      <c r="C128">
        <v>1970</v>
      </c>
      <c r="D128" s="7">
        <v>1.365</v>
      </c>
      <c r="E128" s="7">
        <v>1.2038</v>
      </c>
      <c r="F128" s="7">
        <v>1.5725</v>
      </c>
      <c r="G128" s="7">
        <v>1.2013</v>
      </c>
      <c r="H128" s="7">
        <v>1.5549999999999999</v>
      </c>
      <c r="I128" s="4">
        <v>0.28370000000000001</v>
      </c>
      <c r="J128" s="2">
        <v>1.3832</v>
      </c>
      <c r="K128" s="1" t="s">
        <v>619</v>
      </c>
      <c r="L128" s="4">
        <v>0.271941391941392</v>
      </c>
      <c r="M128"/>
      <c r="N128"/>
      <c r="O128"/>
      <c r="P128"/>
      <c r="Q128"/>
    </row>
    <row r="129" spans="1:17" x14ac:dyDescent="0.3">
      <c r="A129" s="1" t="s">
        <v>470</v>
      </c>
      <c r="B129" s="1" t="s">
        <v>80</v>
      </c>
      <c r="C129">
        <v>1971</v>
      </c>
      <c r="D129" s="7">
        <v>1.3674999999999999</v>
      </c>
      <c r="E129" s="7">
        <v>1.5688</v>
      </c>
      <c r="F129" s="7">
        <v>1.6037999999999999</v>
      </c>
      <c r="G129" s="7">
        <v>1.1288</v>
      </c>
      <c r="H129" s="7">
        <v>1.2338</v>
      </c>
      <c r="I129" s="4">
        <v>-0.20660000000000001</v>
      </c>
      <c r="J129" s="2">
        <v>1.3837999999999999</v>
      </c>
      <c r="K129" s="1" t="s">
        <v>620</v>
      </c>
      <c r="L129" s="4">
        <v>0.34734917733089599</v>
      </c>
      <c r="M129"/>
      <c r="N129"/>
      <c r="O129"/>
      <c r="P129"/>
      <c r="Q129"/>
    </row>
    <row r="130" spans="1:17" x14ac:dyDescent="0.3">
      <c r="A130" s="1" t="s">
        <v>469</v>
      </c>
      <c r="B130" s="1" t="s">
        <v>80</v>
      </c>
      <c r="C130">
        <v>1972</v>
      </c>
      <c r="D130" s="7">
        <v>1.2990999999999999</v>
      </c>
      <c r="E130" s="7">
        <v>1.2224999999999999</v>
      </c>
      <c r="F130" s="7">
        <v>1.6325000000000001</v>
      </c>
      <c r="G130" s="7">
        <v>1.1850000000000001</v>
      </c>
      <c r="H130" s="7">
        <v>1.5475000000000001</v>
      </c>
      <c r="I130" s="4">
        <v>0.25430000000000003</v>
      </c>
      <c r="J130" s="2">
        <v>1.3969</v>
      </c>
      <c r="K130" s="1" t="s">
        <v>619</v>
      </c>
      <c r="L130" s="4">
        <v>0.34446924794088202</v>
      </c>
      <c r="M130"/>
      <c r="N130"/>
      <c r="O130"/>
      <c r="P130"/>
      <c r="Q130"/>
    </row>
    <row r="131" spans="1:17" x14ac:dyDescent="0.3">
      <c r="A131" s="1" t="s">
        <v>468</v>
      </c>
      <c r="B131" s="1" t="s">
        <v>80</v>
      </c>
      <c r="C131">
        <v>1973</v>
      </c>
      <c r="D131" s="7">
        <v>2.1701000000000001</v>
      </c>
      <c r="E131" s="7">
        <v>1.5175000000000001</v>
      </c>
      <c r="F131" s="7">
        <v>3.4775</v>
      </c>
      <c r="G131" s="7">
        <v>1.5086999999999999</v>
      </c>
      <c r="H131" s="7">
        <v>2.6875</v>
      </c>
      <c r="I131" s="4">
        <v>0.73670000000000002</v>
      </c>
      <c r="J131" s="2">
        <v>2.2978000000000001</v>
      </c>
      <c r="K131" s="1" t="s">
        <v>619</v>
      </c>
      <c r="L131" s="4">
        <v>0.90723929772821499</v>
      </c>
      <c r="M131"/>
      <c r="N131"/>
      <c r="O131"/>
      <c r="P131"/>
      <c r="Q131"/>
    </row>
    <row r="132" spans="1:17" x14ac:dyDescent="0.3">
      <c r="A132" s="1" t="s">
        <v>467</v>
      </c>
      <c r="B132" s="1" t="s">
        <v>80</v>
      </c>
      <c r="C132">
        <v>1974</v>
      </c>
      <c r="D132" s="7">
        <v>3.2088999999999999</v>
      </c>
      <c r="E132" s="7">
        <v>2.7349999999999999</v>
      </c>
      <c r="F132" s="7">
        <v>3.95</v>
      </c>
      <c r="G132" s="7">
        <v>2.5175000000000001</v>
      </c>
      <c r="H132" s="7">
        <v>3.4175</v>
      </c>
      <c r="I132" s="4">
        <v>0.27160000000000001</v>
      </c>
      <c r="J132" s="2">
        <v>3.1549999999999998</v>
      </c>
      <c r="K132" s="1" t="s">
        <v>619</v>
      </c>
      <c r="L132" s="4">
        <v>0.44641465922901902</v>
      </c>
      <c r="M132"/>
      <c r="N132"/>
      <c r="O132"/>
      <c r="P132"/>
      <c r="Q132"/>
    </row>
    <row r="133" spans="1:17" x14ac:dyDescent="0.3">
      <c r="A133" s="1" t="s">
        <v>466</v>
      </c>
      <c r="B133" s="1" t="s">
        <v>80</v>
      </c>
      <c r="C133">
        <v>1975</v>
      </c>
      <c r="D133" s="7">
        <v>2.8868</v>
      </c>
      <c r="E133" s="7">
        <v>3.4674999999999998</v>
      </c>
      <c r="F133" s="7">
        <v>3.5074999999999998</v>
      </c>
      <c r="G133" s="7">
        <v>2.4925000000000002</v>
      </c>
      <c r="H133" s="7">
        <v>2.6150000000000002</v>
      </c>
      <c r="I133" s="4">
        <v>-0.23480000000000001</v>
      </c>
      <c r="J133" s="2">
        <v>3.0206</v>
      </c>
      <c r="K133" s="1" t="s">
        <v>620</v>
      </c>
      <c r="L133" s="4">
        <v>0.35160038797284199</v>
      </c>
      <c r="M133"/>
      <c r="N133"/>
      <c r="O133"/>
      <c r="P133"/>
      <c r="Q133"/>
    </row>
    <row r="134" spans="1:17" x14ac:dyDescent="0.3">
      <c r="A134" s="1" t="s">
        <v>465</v>
      </c>
      <c r="B134" s="1" t="s">
        <v>80</v>
      </c>
      <c r="C134">
        <v>1976</v>
      </c>
      <c r="D134" s="7">
        <v>2.7282999999999999</v>
      </c>
      <c r="E134" s="7">
        <v>2.6150000000000002</v>
      </c>
      <c r="F134" s="7">
        <v>3.09</v>
      </c>
      <c r="G134" s="7">
        <v>2.3199999999999998</v>
      </c>
      <c r="H134" s="7">
        <v>2.5649999999999999</v>
      </c>
      <c r="I134" s="4">
        <v>-1.9099999999999999E-2</v>
      </c>
      <c r="J134" s="2">
        <v>2.6475</v>
      </c>
      <c r="K134" s="1" t="s">
        <v>620</v>
      </c>
      <c r="L134" s="4">
        <v>0.28222702781952103</v>
      </c>
      <c r="M134"/>
      <c r="N134"/>
      <c r="O134"/>
      <c r="P134"/>
      <c r="Q134"/>
    </row>
    <row r="135" spans="1:17" x14ac:dyDescent="0.3">
      <c r="A135" s="1" t="s">
        <v>464</v>
      </c>
      <c r="B135" s="1" t="s">
        <v>80</v>
      </c>
      <c r="C135">
        <v>1977</v>
      </c>
      <c r="D135" s="7">
        <v>2.3031000000000001</v>
      </c>
      <c r="E135" s="7">
        <v>2.5499999999999998</v>
      </c>
      <c r="F135" s="7">
        <v>2.645</v>
      </c>
      <c r="G135" s="7">
        <v>1.8125</v>
      </c>
      <c r="H135" s="7">
        <v>2.2374999999999998</v>
      </c>
      <c r="I135" s="4">
        <v>-0.12770000000000001</v>
      </c>
      <c r="J135" s="2">
        <v>2.3111999999999999</v>
      </c>
      <c r="K135" s="1" t="s">
        <v>620</v>
      </c>
      <c r="L135" s="4">
        <v>0.36146932395467002</v>
      </c>
      <c r="M135"/>
      <c r="N135"/>
      <c r="O135"/>
      <c r="P135"/>
      <c r="Q135"/>
    </row>
    <row r="136" spans="1:17" x14ac:dyDescent="0.3">
      <c r="A136" s="1" t="s">
        <v>463</v>
      </c>
      <c r="B136" s="1" t="s">
        <v>80</v>
      </c>
      <c r="C136">
        <v>1978</v>
      </c>
      <c r="D136" s="7">
        <v>2.3651</v>
      </c>
      <c r="E136" s="7">
        <v>2.23</v>
      </c>
      <c r="F136" s="7">
        <v>2.7</v>
      </c>
      <c r="G136" s="7">
        <v>2.1349999999999998</v>
      </c>
      <c r="H136" s="7">
        <v>2.3174999999999999</v>
      </c>
      <c r="I136" s="4">
        <v>3.5799999999999998E-2</v>
      </c>
      <c r="J136" s="2">
        <v>2.3456000000000001</v>
      </c>
      <c r="K136" s="1" t="s">
        <v>619</v>
      </c>
      <c r="L136" s="4">
        <v>0.23889053316984499</v>
      </c>
      <c r="M136"/>
      <c r="N136"/>
      <c r="O136"/>
      <c r="P136"/>
      <c r="Q136"/>
    </row>
    <row r="137" spans="1:17" x14ac:dyDescent="0.3">
      <c r="A137" s="1" t="s">
        <v>462</v>
      </c>
      <c r="B137" s="1" t="s">
        <v>80</v>
      </c>
      <c r="C137">
        <v>1979</v>
      </c>
      <c r="D137" s="7">
        <v>2.6901000000000002</v>
      </c>
      <c r="E137" s="7">
        <v>2.3174999999999999</v>
      </c>
      <c r="F137" s="7">
        <v>3.1924999999999999</v>
      </c>
      <c r="G137" s="7">
        <v>2.2825000000000002</v>
      </c>
      <c r="H137" s="7">
        <v>2.8925000000000001</v>
      </c>
      <c r="I137" s="4">
        <v>0.24809999999999999</v>
      </c>
      <c r="J137" s="2">
        <v>2.6711999999999998</v>
      </c>
      <c r="K137" s="1" t="s">
        <v>619</v>
      </c>
      <c r="L137" s="4">
        <v>0.33827738745771502</v>
      </c>
      <c r="M137"/>
      <c r="N137"/>
      <c r="O137"/>
      <c r="P137"/>
      <c r="Q137"/>
    </row>
    <row r="138" spans="1:17" x14ac:dyDescent="0.3">
      <c r="A138" s="1" t="s">
        <v>461</v>
      </c>
      <c r="B138" s="1" t="s">
        <v>80</v>
      </c>
      <c r="C138">
        <v>1980</v>
      </c>
      <c r="D138" s="7">
        <v>3.1513</v>
      </c>
      <c r="E138" s="7">
        <v>2.8650000000000002</v>
      </c>
      <c r="F138" s="7">
        <v>4.0594999999999999</v>
      </c>
      <c r="G138" s="7">
        <v>2.5825</v>
      </c>
      <c r="H138" s="7">
        <v>3.78</v>
      </c>
      <c r="I138" s="4">
        <v>0.30680000000000002</v>
      </c>
      <c r="J138" s="2">
        <v>3.3218000000000001</v>
      </c>
      <c r="K138" s="1" t="s">
        <v>619</v>
      </c>
      <c r="L138" s="4">
        <v>0.46869545901691401</v>
      </c>
      <c r="M138"/>
      <c r="N138"/>
      <c r="O138"/>
      <c r="P138"/>
      <c r="Q138"/>
    </row>
    <row r="139" spans="1:17" x14ac:dyDescent="0.3">
      <c r="A139" s="1" t="s">
        <v>460</v>
      </c>
      <c r="B139" s="1" t="s">
        <v>80</v>
      </c>
      <c r="C139">
        <v>1981</v>
      </c>
      <c r="D139" s="7">
        <v>3.2906</v>
      </c>
      <c r="E139" s="7">
        <v>3.8174999999999999</v>
      </c>
      <c r="F139" s="7">
        <v>3.8174999999999999</v>
      </c>
      <c r="G139" s="7">
        <v>2.63</v>
      </c>
      <c r="H139" s="7">
        <v>2.7050000000000001</v>
      </c>
      <c r="I139" s="4">
        <v>-0.28439999999999999</v>
      </c>
      <c r="J139" s="2">
        <v>3.2425000000000002</v>
      </c>
      <c r="K139" s="1" t="s">
        <v>620</v>
      </c>
      <c r="L139" s="4">
        <v>0.36087643590834501</v>
      </c>
      <c r="M139"/>
      <c r="N139"/>
      <c r="O139"/>
      <c r="P139"/>
      <c r="Q139"/>
    </row>
    <row r="140" spans="1:17" x14ac:dyDescent="0.3">
      <c r="A140" s="1" t="s">
        <v>459</v>
      </c>
      <c r="B140" s="1" t="s">
        <v>80</v>
      </c>
      <c r="C140">
        <v>1982</v>
      </c>
      <c r="D140" s="7">
        <v>2.5453000000000001</v>
      </c>
      <c r="E140" s="7">
        <v>2.7225000000000001</v>
      </c>
      <c r="F140" s="7">
        <v>2.8420000000000001</v>
      </c>
      <c r="G140" s="7">
        <v>2.14</v>
      </c>
      <c r="H140" s="7">
        <v>2.4474999999999998</v>
      </c>
      <c r="I140" s="4">
        <v>-9.5200000000000007E-2</v>
      </c>
      <c r="J140" s="2">
        <v>2.5379999999999998</v>
      </c>
      <c r="K140" s="1" t="s">
        <v>620</v>
      </c>
      <c r="L140" s="4">
        <v>0.27580245943503701</v>
      </c>
      <c r="M140"/>
      <c r="N140"/>
      <c r="O140"/>
      <c r="P140"/>
      <c r="Q140"/>
    </row>
    <row r="141" spans="1:17" x14ac:dyDescent="0.3">
      <c r="A141" s="1" t="s">
        <v>458</v>
      </c>
      <c r="B141" s="1" t="s">
        <v>80</v>
      </c>
      <c r="C141">
        <v>1983</v>
      </c>
      <c r="D141" s="7">
        <v>3.1823000000000001</v>
      </c>
      <c r="E141" s="7">
        <v>2.4424999999999999</v>
      </c>
      <c r="F141" s="7">
        <v>3.6924999999999999</v>
      </c>
      <c r="G141" s="7">
        <v>2.4275000000000002</v>
      </c>
      <c r="H141" s="7">
        <v>3.3725000000000001</v>
      </c>
      <c r="I141" s="4">
        <v>0.37790000000000001</v>
      </c>
      <c r="J141" s="2">
        <v>2.9838</v>
      </c>
      <c r="K141" s="1" t="s">
        <v>619</v>
      </c>
      <c r="L141" s="4">
        <v>0.39751123401313498</v>
      </c>
      <c r="M141"/>
      <c r="N141"/>
      <c r="O141"/>
      <c r="P141"/>
      <c r="Q141"/>
    </row>
    <row r="142" spans="1:17" x14ac:dyDescent="0.3">
      <c r="A142" s="1" t="s">
        <v>457</v>
      </c>
      <c r="B142" s="1" t="s">
        <v>80</v>
      </c>
      <c r="C142">
        <v>1984</v>
      </c>
      <c r="D142" s="7">
        <v>3.137</v>
      </c>
      <c r="E142" s="7">
        <v>3.2974999999999999</v>
      </c>
      <c r="F142" s="7">
        <v>3.6175000000000002</v>
      </c>
      <c r="G142" s="7">
        <v>2.6524999999999999</v>
      </c>
      <c r="H142" s="7">
        <v>2.6924999999999999</v>
      </c>
      <c r="I142" s="4">
        <v>-0.2016</v>
      </c>
      <c r="J142" s="2">
        <v>3.0649999999999999</v>
      </c>
      <c r="K142" s="1" t="s">
        <v>620</v>
      </c>
      <c r="L142" s="4">
        <v>0.30761874402295197</v>
      </c>
      <c r="M142"/>
      <c r="N142"/>
      <c r="O142"/>
      <c r="P142"/>
      <c r="Q142"/>
    </row>
    <row r="143" spans="1:17" x14ac:dyDescent="0.3">
      <c r="A143" s="1" t="s">
        <v>456</v>
      </c>
      <c r="B143" s="1" t="s">
        <v>80</v>
      </c>
      <c r="C143">
        <v>1985</v>
      </c>
      <c r="D143" s="7">
        <v>2.5428000000000002</v>
      </c>
      <c r="E143" s="7">
        <v>2.7075</v>
      </c>
      <c r="F143" s="7">
        <v>2.855</v>
      </c>
      <c r="G143" s="7">
        <v>2.1524999999999999</v>
      </c>
      <c r="H143" s="7">
        <v>2.4824999999999999</v>
      </c>
      <c r="I143" s="4">
        <v>-7.8E-2</v>
      </c>
      <c r="J143" s="2">
        <v>2.5493999999999999</v>
      </c>
      <c r="K143" s="1" t="s">
        <v>620</v>
      </c>
      <c r="L143" s="4">
        <v>0.27627025326411803</v>
      </c>
      <c r="M143"/>
      <c r="N143"/>
      <c r="O143"/>
      <c r="P143"/>
      <c r="Q143"/>
    </row>
    <row r="144" spans="1:17" x14ac:dyDescent="0.3">
      <c r="A144" s="1" t="s">
        <v>455</v>
      </c>
      <c r="B144" s="1" t="s">
        <v>80</v>
      </c>
      <c r="C144">
        <v>1986</v>
      </c>
      <c r="D144" s="7">
        <v>2.0146000000000002</v>
      </c>
      <c r="E144" s="7">
        <v>2.4750000000000001</v>
      </c>
      <c r="F144" s="7">
        <v>2.4925000000000002</v>
      </c>
      <c r="G144" s="7">
        <v>1.5535000000000001</v>
      </c>
      <c r="H144" s="7">
        <v>1.6</v>
      </c>
      <c r="I144" s="4">
        <v>-0.35549999999999998</v>
      </c>
      <c r="J144" s="2">
        <v>2.0301999999999998</v>
      </c>
      <c r="K144" s="1" t="s">
        <v>620</v>
      </c>
      <c r="L144" s="4">
        <v>0.46609748833515302</v>
      </c>
      <c r="M144"/>
      <c r="N144"/>
      <c r="O144"/>
      <c r="P144"/>
      <c r="Q144"/>
    </row>
    <row r="145" spans="1:17" x14ac:dyDescent="0.3">
      <c r="A145" s="1" t="s">
        <v>454</v>
      </c>
      <c r="B145" s="1" t="s">
        <v>80</v>
      </c>
      <c r="C145">
        <v>1987</v>
      </c>
      <c r="D145" s="7">
        <v>1.7314000000000001</v>
      </c>
      <c r="E145" s="7">
        <v>1.5725</v>
      </c>
      <c r="F145" s="7">
        <v>2.0225</v>
      </c>
      <c r="G145" s="7">
        <v>1.4275</v>
      </c>
      <c r="H145" s="7">
        <v>1.8474999999999999</v>
      </c>
      <c r="I145" s="4">
        <v>0.1547</v>
      </c>
      <c r="J145" s="2">
        <v>1.7175</v>
      </c>
      <c r="K145" s="1" t="s">
        <v>619</v>
      </c>
      <c r="L145" s="4">
        <v>0.34365253552038799</v>
      </c>
      <c r="M145"/>
      <c r="N145"/>
      <c r="O145"/>
      <c r="P145"/>
      <c r="Q145"/>
    </row>
    <row r="146" spans="1:17" x14ac:dyDescent="0.3">
      <c r="A146" s="1" t="s">
        <v>453</v>
      </c>
      <c r="B146" s="1" t="s">
        <v>80</v>
      </c>
      <c r="C146">
        <v>1988</v>
      </c>
      <c r="D146" s="7">
        <v>2.5459999999999998</v>
      </c>
      <c r="E146" s="7">
        <v>1.875</v>
      </c>
      <c r="F146" s="7">
        <v>3.5350000000000001</v>
      </c>
      <c r="G146" s="7">
        <v>1.875</v>
      </c>
      <c r="H146" s="7">
        <v>2.8450000000000002</v>
      </c>
      <c r="I146" s="4">
        <v>0.53990000000000005</v>
      </c>
      <c r="J146" s="2">
        <v>2.5325000000000002</v>
      </c>
      <c r="K146" s="1" t="s">
        <v>619</v>
      </c>
      <c r="L146" s="4">
        <v>0.65200314218381805</v>
      </c>
      <c r="M146"/>
      <c r="N146"/>
      <c r="O146"/>
      <c r="P146"/>
      <c r="Q146"/>
    </row>
    <row r="147" spans="1:17" x14ac:dyDescent="0.3">
      <c r="A147" s="1" t="s">
        <v>452</v>
      </c>
      <c r="B147" s="1" t="s">
        <v>80</v>
      </c>
      <c r="C147">
        <v>1989</v>
      </c>
      <c r="D147" s="7">
        <v>2.5411000000000001</v>
      </c>
      <c r="E147" s="7">
        <v>2.8075000000000001</v>
      </c>
      <c r="F147" s="7">
        <v>2.895</v>
      </c>
      <c r="G147" s="7">
        <v>2.1724999999999999</v>
      </c>
      <c r="H147" s="7">
        <v>2.3975</v>
      </c>
      <c r="I147" s="4">
        <v>-0.1573</v>
      </c>
      <c r="J147" s="2">
        <v>2.5680999999999998</v>
      </c>
      <c r="K147" s="1" t="s">
        <v>620</v>
      </c>
      <c r="L147" s="4">
        <v>0.28432568572665401</v>
      </c>
      <c r="M147"/>
      <c r="N147"/>
      <c r="O147"/>
      <c r="P147"/>
      <c r="Q147"/>
    </row>
    <row r="148" spans="1:17" x14ac:dyDescent="0.3">
      <c r="A148" s="1" t="s">
        <v>451</v>
      </c>
      <c r="B148" s="1" t="s">
        <v>80</v>
      </c>
      <c r="C148">
        <v>1990</v>
      </c>
      <c r="D148" s="7">
        <v>2.5198</v>
      </c>
      <c r="E148" s="7">
        <v>2.3774999999999999</v>
      </c>
      <c r="F148" s="7">
        <v>2.9224999999999999</v>
      </c>
      <c r="G148" s="7">
        <v>2.1875</v>
      </c>
      <c r="H148" s="7">
        <v>2.3174999999999999</v>
      </c>
      <c r="I148" s="4">
        <v>-3.3399999999999999E-2</v>
      </c>
      <c r="J148" s="2">
        <v>2.4512</v>
      </c>
      <c r="K148" s="1" t="s">
        <v>620</v>
      </c>
      <c r="L148" s="4">
        <v>0.29168981665211502</v>
      </c>
      <c r="M148"/>
      <c r="N148"/>
      <c r="O148"/>
      <c r="P148"/>
      <c r="Q148"/>
    </row>
    <row r="149" spans="1:17" x14ac:dyDescent="0.3">
      <c r="A149" s="1" t="s">
        <v>450</v>
      </c>
      <c r="B149" s="1" t="s">
        <v>80</v>
      </c>
      <c r="C149">
        <v>1991</v>
      </c>
      <c r="D149" s="7">
        <v>2.4676</v>
      </c>
      <c r="E149" s="7">
        <v>2.3174999999999999</v>
      </c>
      <c r="F149" s="7">
        <v>2.625</v>
      </c>
      <c r="G149" s="7">
        <v>2.1949999999999998</v>
      </c>
      <c r="H149" s="7">
        <v>2.5150000000000001</v>
      </c>
      <c r="I149" s="4">
        <v>8.5199999999999998E-2</v>
      </c>
      <c r="J149" s="2">
        <v>2.4131</v>
      </c>
      <c r="K149" s="1" t="s">
        <v>619</v>
      </c>
      <c r="L149" s="4">
        <v>0.17425838871778199</v>
      </c>
      <c r="M149"/>
      <c r="N149"/>
      <c r="O149"/>
      <c r="P149"/>
      <c r="Q149"/>
    </row>
    <row r="150" spans="1:17" x14ac:dyDescent="0.3">
      <c r="A150" s="1" t="s">
        <v>449</v>
      </c>
      <c r="B150" s="1" t="s">
        <v>80</v>
      </c>
      <c r="C150">
        <v>1992</v>
      </c>
      <c r="D150" s="7">
        <v>2.3936000000000002</v>
      </c>
      <c r="E150" s="7">
        <v>2.5049999999999999</v>
      </c>
      <c r="F150" s="7">
        <v>2.7875000000000001</v>
      </c>
      <c r="G150" s="7">
        <v>2.0499999999999998</v>
      </c>
      <c r="H150" s="7">
        <v>2.165</v>
      </c>
      <c r="I150" s="4">
        <v>-0.13919999999999999</v>
      </c>
      <c r="J150" s="2">
        <v>2.3769</v>
      </c>
      <c r="K150" s="1" t="s">
        <v>620</v>
      </c>
      <c r="L150" s="4">
        <v>0.30811330213903798</v>
      </c>
      <c r="M150"/>
      <c r="N150"/>
      <c r="O150"/>
      <c r="P150"/>
      <c r="Q150"/>
    </row>
    <row r="151" spans="1:17" x14ac:dyDescent="0.3">
      <c r="A151" s="1" t="s">
        <v>448</v>
      </c>
      <c r="B151" s="1" t="s">
        <v>80</v>
      </c>
      <c r="C151">
        <v>1993</v>
      </c>
      <c r="D151" s="7">
        <v>2.3929</v>
      </c>
      <c r="E151" s="7">
        <v>2.1575000000000002</v>
      </c>
      <c r="F151" s="7">
        <v>3.06</v>
      </c>
      <c r="G151" s="7">
        <v>2.1175000000000002</v>
      </c>
      <c r="H151" s="7">
        <v>3.06</v>
      </c>
      <c r="I151" s="4">
        <v>0.41339999999999999</v>
      </c>
      <c r="J151" s="2">
        <v>2.5988000000000002</v>
      </c>
      <c r="K151" s="1" t="s">
        <v>619</v>
      </c>
      <c r="L151" s="4">
        <v>0.393873542563417</v>
      </c>
      <c r="M151"/>
      <c r="N151"/>
      <c r="O151"/>
      <c r="P151"/>
      <c r="Q151"/>
    </row>
    <row r="152" spans="1:17" x14ac:dyDescent="0.3">
      <c r="A152" s="1" t="s">
        <v>447</v>
      </c>
      <c r="B152" s="1" t="s">
        <v>80</v>
      </c>
      <c r="C152">
        <v>1994</v>
      </c>
      <c r="D152" s="7">
        <v>2.5011999999999999</v>
      </c>
      <c r="E152" s="7">
        <v>3.0674999999999999</v>
      </c>
      <c r="F152" s="7">
        <v>3.1</v>
      </c>
      <c r="G152" s="7">
        <v>2.1175000000000002</v>
      </c>
      <c r="H152" s="7">
        <v>2.31</v>
      </c>
      <c r="I152" s="4">
        <v>-0.24510000000000001</v>
      </c>
      <c r="J152" s="2">
        <v>2.6488</v>
      </c>
      <c r="K152" s="1" t="s">
        <v>620</v>
      </c>
      <c r="L152" s="4">
        <v>0.39281145050375799</v>
      </c>
      <c r="M152"/>
      <c r="N152"/>
      <c r="O152"/>
      <c r="P152"/>
      <c r="Q152"/>
    </row>
    <row r="153" spans="1:17" x14ac:dyDescent="0.3">
      <c r="A153" s="1" t="s">
        <v>446</v>
      </c>
      <c r="B153" s="1" t="s">
        <v>80</v>
      </c>
      <c r="C153">
        <v>1995</v>
      </c>
      <c r="D153" s="7">
        <v>2.8104</v>
      </c>
      <c r="E153" s="7">
        <v>2.2850000000000001</v>
      </c>
      <c r="F153" s="7">
        <v>3.6924999999999999</v>
      </c>
      <c r="G153" s="7">
        <v>2.2850000000000001</v>
      </c>
      <c r="H153" s="7">
        <v>3.6924999999999999</v>
      </c>
      <c r="I153" s="4">
        <v>0.59850000000000003</v>
      </c>
      <c r="J153" s="2">
        <v>2.9887999999999999</v>
      </c>
      <c r="K153" s="1" t="s">
        <v>619</v>
      </c>
      <c r="L153" s="4">
        <v>0.50081838884144603</v>
      </c>
      <c r="M153"/>
      <c r="N153"/>
      <c r="O153"/>
      <c r="P153"/>
      <c r="Q153"/>
    </row>
    <row r="154" spans="1:17" x14ac:dyDescent="0.3">
      <c r="A154" s="1" t="s">
        <v>445</v>
      </c>
      <c r="B154" s="1" t="s">
        <v>80</v>
      </c>
      <c r="C154">
        <v>1996</v>
      </c>
      <c r="D154" s="7">
        <v>3.669</v>
      </c>
      <c r="E154" s="7">
        <v>3.7324999999999999</v>
      </c>
      <c r="F154" s="7">
        <v>5.0449999999999999</v>
      </c>
      <c r="G154" s="7">
        <v>2.5825</v>
      </c>
      <c r="H154" s="7">
        <v>2.5825</v>
      </c>
      <c r="I154" s="4">
        <v>-0.30059999999999998</v>
      </c>
      <c r="J154" s="2">
        <v>3.4855999999999998</v>
      </c>
      <c r="K154" s="1" t="s">
        <v>620</v>
      </c>
      <c r="L154" s="4">
        <v>0.67116380485145799</v>
      </c>
      <c r="M154"/>
      <c r="N154"/>
      <c r="O154"/>
      <c r="P154"/>
      <c r="Q154"/>
    </row>
    <row r="155" spans="1:17" x14ac:dyDescent="0.3">
      <c r="A155" s="1" t="s">
        <v>444</v>
      </c>
      <c r="B155" s="1" t="s">
        <v>80</v>
      </c>
      <c r="C155">
        <v>1997</v>
      </c>
      <c r="D155" s="7">
        <v>2.7486999999999999</v>
      </c>
      <c r="E155" s="7">
        <v>2.585</v>
      </c>
      <c r="F155" s="7">
        <v>3.13</v>
      </c>
      <c r="G155" s="7">
        <v>2.2925</v>
      </c>
      <c r="H155" s="7">
        <v>2.65</v>
      </c>
      <c r="I155" s="4">
        <v>2.6100000000000002E-2</v>
      </c>
      <c r="J155" s="2">
        <v>2.6644000000000001</v>
      </c>
      <c r="K155" s="1" t="s">
        <v>619</v>
      </c>
      <c r="L155" s="4">
        <v>0.30468948957689101</v>
      </c>
      <c r="M155"/>
      <c r="N155"/>
      <c r="O155"/>
      <c r="P155"/>
      <c r="Q155"/>
    </row>
    <row r="156" spans="1:17" x14ac:dyDescent="0.3">
      <c r="A156" s="1" t="s">
        <v>443</v>
      </c>
      <c r="B156" s="1" t="s">
        <v>80</v>
      </c>
      <c r="C156">
        <v>1998</v>
      </c>
      <c r="D156" s="7">
        <v>2.3807</v>
      </c>
      <c r="E156" s="7">
        <v>2.6274999999999999</v>
      </c>
      <c r="F156" s="7">
        <v>2.82</v>
      </c>
      <c r="G156" s="7">
        <v>1.9695</v>
      </c>
      <c r="H156" s="7">
        <v>2.1349999999999998</v>
      </c>
      <c r="I156" s="4">
        <v>-0.1943</v>
      </c>
      <c r="J156" s="2">
        <v>2.3879999999999999</v>
      </c>
      <c r="K156" s="1" t="s">
        <v>620</v>
      </c>
      <c r="L156" s="4">
        <v>0.35724786827403698</v>
      </c>
      <c r="M156"/>
      <c r="N156"/>
      <c r="O156"/>
      <c r="P156"/>
      <c r="Q156"/>
    </row>
    <row r="157" spans="1:17" x14ac:dyDescent="0.3">
      <c r="A157" s="1" t="s">
        <v>442</v>
      </c>
      <c r="B157" s="1" t="s">
        <v>80</v>
      </c>
      <c r="C157">
        <v>1999</v>
      </c>
      <c r="D157" s="7">
        <v>2.1152000000000002</v>
      </c>
      <c r="E157" s="7">
        <v>2.1475</v>
      </c>
      <c r="F157" s="7">
        <v>2.3224999999999998</v>
      </c>
      <c r="G157" s="7">
        <v>1.86</v>
      </c>
      <c r="H157" s="7">
        <v>2.0449999999999999</v>
      </c>
      <c r="I157" s="4">
        <v>-4.2200000000000001E-2</v>
      </c>
      <c r="J157" s="2">
        <v>2.0937999999999999</v>
      </c>
      <c r="K157" s="1" t="s">
        <v>620</v>
      </c>
      <c r="L157" s="4">
        <v>0.21865544629349501</v>
      </c>
      <c r="M157"/>
      <c r="N157"/>
      <c r="O157"/>
      <c r="P157"/>
      <c r="Q157"/>
    </row>
    <row r="158" spans="1:17" x14ac:dyDescent="0.3">
      <c r="A158" s="1" t="s">
        <v>441</v>
      </c>
      <c r="B158" s="1" t="s">
        <v>80</v>
      </c>
      <c r="C158">
        <v>2000</v>
      </c>
      <c r="D158" s="7">
        <v>2.1151</v>
      </c>
      <c r="E158" s="7">
        <v>2.0074999999999998</v>
      </c>
      <c r="F158" s="7">
        <v>2.5074999999999998</v>
      </c>
      <c r="G158" s="7">
        <v>1.7475000000000001</v>
      </c>
      <c r="H158" s="7">
        <v>2.3174999999999999</v>
      </c>
      <c r="I158" s="4">
        <v>0.1333</v>
      </c>
      <c r="J158" s="2">
        <v>2.145</v>
      </c>
      <c r="K158" s="1" t="s">
        <v>619</v>
      </c>
      <c r="L158" s="4">
        <v>0.35932107228972598</v>
      </c>
      <c r="M158"/>
      <c r="N158"/>
      <c r="O158"/>
      <c r="P158"/>
      <c r="Q158"/>
    </row>
    <row r="159" spans="1:17" x14ac:dyDescent="0.3">
      <c r="A159" s="1" t="s">
        <v>440</v>
      </c>
      <c r="B159" s="1" t="s">
        <v>80</v>
      </c>
      <c r="C159">
        <v>2001</v>
      </c>
      <c r="D159" s="7">
        <v>2.1067</v>
      </c>
      <c r="E159" s="7">
        <v>2.2725</v>
      </c>
      <c r="F159" s="7">
        <v>2.3424999999999998</v>
      </c>
      <c r="G159" s="7">
        <v>1.845</v>
      </c>
      <c r="H159" s="7">
        <v>2.09</v>
      </c>
      <c r="I159" s="4">
        <v>-9.8199999999999996E-2</v>
      </c>
      <c r="J159" s="2">
        <v>2.1375000000000002</v>
      </c>
      <c r="K159" s="1" t="s">
        <v>620</v>
      </c>
      <c r="L159" s="4">
        <v>0.236151326719514</v>
      </c>
      <c r="M159"/>
      <c r="N159"/>
      <c r="O159"/>
      <c r="P159"/>
      <c r="Q159"/>
    </row>
    <row r="160" spans="1:17" x14ac:dyDescent="0.3">
      <c r="A160" s="1" t="s">
        <v>439</v>
      </c>
      <c r="B160" s="1" t="s">
        <v>80</v>
      </c>
      <c r="C160">
        <v>2002</v>
      </c>
      <c r="D160" s="7">
        <v>2.2894000000000001</v>
      </c>
      <c r="E160" s="7">
        <v>2.085</v>
      </c>
      <c r="F160" s="7">
        <v>2.9249999999999998</v>
      </c>
      <c r="G160" s="7">
        <v>1.96</v>
      </c>
      <c r="H160" s="7">
        <v>2.3574999999999999</v>
      </c>
      <c r="I160" s="4">
        <v>0.128</v>
      </c>
      <c r="J160" s="2">
        <v>2.3319000000000001</v>
      </c>
      <c r="K160" s="1" t="s">
        <v>619</v>
      </c>
      <c r="L160" s="4">
        <v>0.42150781864243902</v>
      </c>
      <c r="M160"/>
      <c r="N160"/>
      <c r="O160"/>
      <c r="P160"/>
      <c r="Q160"/>
    </row>
    <row r="161" spans="1:17" x14ac:dyDescent="0.3">
      <c r="A161" s="1" t="s">
        <v>438</v>
      </c>
      <c r="B161" s="1" t="s">
        <v>80</v>
      </c>
      <c r="C161">
        <v>2003</v>
      </c>
      <c r="D161" s="7">
        <v>2.3349000000000002</v>
      </c>
      <c r="E161" s="7">
        <v>2.37</v>
      </c>
      <c r="F161" s="7">
        <v>2.5575000000000001</v>
      </c>
      <c r="G161" s="7">
        <v>2.0550000000000002</v>
      </c>
      <c r="H161" s="7">
        <v>2.46</v>
      </c>
      <c r="I161" s="4">
        <v>4.3499999999999997E-2</v>
      </c>
      <c r="J161" s="2">
        <v>2.3605999999999998</v>
      </c>
      <c r="K161" s="1" t="s">
        <v>619</v>
      </c>
      <c r="L161" s="4">
        <v>0.21521264293973999</v>
      </c>
      <c r="M161"/>
      <c r="N161"/>
      <c r="O161"/>
      <c r="P161"/>
      <c r="Q161"/>
    </row>
    <row r="162" spans="1:17" x14ac:dyDescent="0.3">
      <c r="A162" s="1" t="s">
        <v>437</v>
      </c>
      <c r="B162" s="1" t="s">
        <v>80</v>
      </c>
      <c r="C162">
        <v>2004</v>
      </c>
      <c r="D162" s="7">
        <v>2.5352000000000001</v>
      </c>
      <c r="E162" s="7">
        <v>2.5325000000000002</v>
      </c>
      <c r="F162" s="7">
        <v>3.3050000000000002</v>
      </c>
      <c r="G162" s="7">
        <v>1.9724999999999999</v>
      </c>
      <c r="H162" s="7">
        <v>2.0474999999999999</v>
      </c>
      <c r="I162" s="4">
        <v>-0.16769999999999999</v>
      </c>
      <c r="J162" s="2">
        <v>2.4643999999999999</v>
      </c>
      <c r="K162" s="1" t="s">
        <v>620</v>
      </c>
      <c r="L162" s="4">
        <v>0.52559955822025906</v>
      </c>
      <c r="M162"/>
      <c r="N162"/>
      <c r="O162"/>
      <c r="P162"/>
      <c r="Q162"/>
    </row>
    <row r="163" spans="1:17" x14ac:dyDescent="0.3">
      <c r="A163" s="1" t="s">
        <v>436</v>
      </c>
      <c r="B163" s="1" t="s">
        <v>80</v>
      </c>
      <c r="C163">
        <v>2005</v>
      </c>
      <c r="D163" s="7">
        <v>2.1122000000000001</v>
      </c>
      <c r="E163" s="7">
        <v>2.0175000000000001</v>
      </c>
      <c r="F163" s="7">
        <v>2.6</v>
      </c>
      <c r="G163" s="7">
        <v>1.9075</v>
      </c>
      <c r="H163" s="7">
        <v>2.1575000000000002</v>
      </c>
      <c r="I163" s="4">
        <v>5.3699999999999998E-2</v>
      </c>
      <c r="J163" s="2">
        <v>2.1705999999999999</v>
      </c>
      <c r="K163" s="1" t="s">
        <v>619</v>
      </c>
      <c r="L163" s="4">
        <v>0.32785721049143102</v>
      </c>
      <c r="M163"/>
      <c r="N163"/>
      <c r="O163"/>
      <c r="P163"/>
      <c r="Q163"/>
    </row>
    <row r="164" spans="1:17" x14ac:dyDescent="0.3">
      <c r="A164" s="1" t="s">
        <v>435</v>
      </c>
      <c r="B164" s="1" t="s">
        <v>80</v>
      </c>
      <c r="C164">
        <v>2006</v>
      </c>
      <c r="D164" s="7">
        <v>2.6297999999999999</v>
      </c>
      <c r="E164" s="7">
        <v>2.2000000000000002</v>
      </c>
      <c r="F164" s="7">
        <v>3.9024999999999999</v>
      </c>
      <c r="G164" s="7">
        <v>2.0499999999999998</v>
      </c>
      <c r="H164" s="7">
        <v>3.9024999999999999</v>
      </c>
      <c r="I164" s="4">
        <v>0.80879999999999996</v>
      </c>
      <c r="J164" s="2">
        <v>3.0137999999999998</v>
      </c>
      <c r="K164" s="1" t="s">
        <v>619</v>
      </c>
      <c r="L164" s="4">
        <v>0.70442619210586399</v>
      </c>
      <c r="M164"/>
      <c r="N164"/>
      <c r="O164"/>
      <c r="P164"/>
      <c r="Q164"/>
    </row>
    <row r="165" spans="1:17" x14ac:dyDescent="0.3">
      <c r="A165" s="1" t="s">
        <v>434</v>
      </c>
      <c r="B165" s="1" t="s">
        <v>80</v>
      </c>
      <c r="C165">
        <v>2007</v>
      </c>
      <c r="D165" s="7">
        <v>3.762</v>
      </c>
      <c r="E165" s="7">
        <v>3.9024999999999999</v>
      </c>
      <c r="F165" s="7">
        <v>4.5549999999999997</v>
      </c>
      <c r="G165" s="7">
        <v>3.1</v>
      </c>
      <c r="H165" s="7">
        <v>4.5549999999999997</v>
      </c>
      <c r="I165" s="4">
        <v>0.16719999999999999</v>
      </c>
      <c r="J165" s="2">
        <v>4.0281000000000002</v>
      </c>
      <c r="K165" s="1" t="s">
        <v>619</v>
      </c>
      <c r="L165" s="4">
        <v>0.38676236044657097</v>
      </c>
      <c r="M165"/>
      <c r="N165"/>
      <c r="O165"/>
      <c r="P165"/>
      <c r="Q165"/>
    </row>
    <row r="166" spans="1:17" x14ac:dyDescent="0.3">
      <c r="A166" s="1" t="s">
        <v>433</v>
      </c>
      <c r="B166" s="1" t="s">
        <v>80</v>
      </c>
      <c r="C166">
        <v>2008</v>
      </c>
      <c r="D166" s="7">
        <v>5.3014000000000001</v>
      </c>
      <c r="E166" s="7">
        <v>4.625</v>
      </c>
      <c r="F166" s="7">
        <v>7.6254999999999997</v>
      </c>
      <c r="G166" s="7">
        <v>3.0924999999999998</v>
      </c>
      <c r="H166" s="7">
        <v>4.07</v>
      </c>
      <c r="I166" s="4">
        <v>-0.1065</v>
      </c>
      <c r="J166" s="2">
        <v>4.8532000000000002</v>
      </c>
      <c r="K166" s="1" t="s">
        <v>620</v>
      </c>
      <c r="L166" s="4">
        <v>0.85505715471384902</v>
      </c>
      <c r="M166"/>
      <c r="N166"/>
      <c r="O166"/>
      <c r="P166"/>
      <c r="Q166"/>
    </row>
    <row r="167" spans="1:17" x14ac:dyDescent="0.3">
      <c r="A167" s="1" t="s">
        <v>432</v>
      </c>
      <c r="B167" s="1" t="s">
        <v>80</v>
      </c>
      <c r="C167">
        <v>2009</v>
      </c>
      <c r="D167" s="7">
        <v>3.7513000000000001</v>
      </c>
      <c r="E167" s="7">
        <v>4.1224999999999996</v>
      </c>
      <c r="F167" s="7">
        <v>4.4950000000000001</v>
      </c>
      <c r="G167" s="7">
        <v>3.0625</v>
      </c>
      <c r="H167" s="7">
        <v>4.1449999999999996</v>
      </c>
      <c r="I167" s="4">
        <v>1.84E-2</v>
      </c>
      <c r="J167" s="2">
        <v>3.9561999999999999</v>
      </c>
      <c r="K167" s="1" t="s">
        <v>619</v>
      </c>
      <c r="L167" s="4">
        <v>0.38186761922533502</v>
      </c>
      <c r="M167"/>
      <c r="N167"/>
      <c r="O167"/>
      <c r="P167"/>
      <c r="Q167"/>
    </row>
    <row r="168" spans="1:17" x14ac:dyDescent="0.3">
      <c r="A168" s="1" t="s">
        <v>431</v>
      </c>
      <c r="B168" s="1" t="s">
        <v>80</v>
      </c>
      <c r="C168">
        <v>2010</v>
      </c>
      <c r="D168" s="7">
        <v>4.3064</v>
      </c>
      <c r="E168" s="7">
        <v>4.1849999999999996</v>
      </c>
      <c r="F168" s="7">
        <v>6.29</v>
      </c>
      <c r="G168" s="7">
        <v>3.2995000000000001</v>
      </c>
      <c r="H168" s="7">
        <v>6.29</v>
      </c>
      <c r="I168" s="4">
        <v>0.51749999999999996</v>
      </c>
      <c r="J168" s="2">
        <v>5.0160999999999998</v>
      </c>
      <c r="K168" s="1" t="s">
        <v>619</v>
      </c>
      <c r="L168" s="4">
        <v>0.69443154374883898</v>
      </c>
      <c r="M168"/>
      <c r="N168"/>
      <c r="O168"/>
      <c r="P168"/>
      <c r="Q168"/>
    </row>
    <row r="169" spans="1:17" x14ac:dyDescent="0.3">
      <c r="A169" s="1" t="s">
        <v>430</v>
      </c>
      <c r="B169" s="1" t="s">
        <v>80</v>
      </c>
      <c r="C169">
        <v>2011</v>
      </c>
      <c r="D169" s="7">
        <v>6.7972999999999999</v>
      </c>
      <c r="E169" s="7">
        <v>6.2050000000000001</v>
      </c>
      <c r="F169" s="7">
        <v>7.87</v>
      </c>
      <c r="G169" s="7">
        <v>5.79</v>
      </c>
      <c r="H169" s="7">
        <v>6.4649999999999999</v>
      </c>
      <c r="I169" s="4">
        <v>2.7799999999999998E-2</v>
      </c>
      <c r="J169" s="2">
        <v>6.5824999999999996</v>
      </c>
      <c r="K169" s="1" t="s">
        <v>619</v>
      </c>
      <c r="L169" s="4">
        <v>0.30600385447162798</v>
      </c>
      <c r="M169"/>
      <c r="N169"/>
      <c r="O169"/>
      <c r="P169"/>
      <c r="Q169"/>
    </row>
    <row r="170" spans="1:17" x14ac:dyDescent="0.3">
      <c r="A170" s="1" t="s">
        <v>429</v>
      </c>
      <c r="B170" s="1" t="s">
        <v>80</v>
      </c>
      <c r="C170">
        <v>2012</v>
      </c>
      <c r="D170" s="7">
        <v>6.9160000000000004</v>
      </c>
      <c r="E170" s="7">
        <v>6.585</v>
      </c>
      <c r="F170" s="7">
        <v>8.3125</v>
      </c>
      <c r="G170" s="7">
        <v>5.5149999999999997</v>
      </c>
      <c r="H170" s="7">
        <v>6.9824999999999999</v>
      </c>
      <c r="I170" s="4">
        <v>0.08</v>
      </c>
      <c r="J170" s="2">
        <v>6.8487999999999998</v>
      </c>
      <c r="K170" s="1" t="s">
        <v>619</v>
      </c>
      <c r="L170" s="4">
        <v>0.40449681897050299</v>
      </c>
      <c r="M170"/>
      <c r="N170"/>
      <c r="O170"/>
      <c r="P170"/>
      <c r="Q170"/>
    </row>
    <row r="171" spans="1:17" x14ac:dyDescent="0.3">
      <c r="A171" s="1" t="s">
        <v>428</v>
      </c>
      <c r="B171" s="1" t="s">
        <v>80</v>
      </c>
      <c r="C171">
        <v>2013</v>
      </c>
      <c r="D171" s="7">
        <v>5.6871999999999998</v>
      </c>
      <c r="E171" s="7">
        <v>6.9074999999999998</v>
      </c>
      <c r="F171" s="7">
        <v>7.4050000000000002</v>
      </c>
      <c r="G171" s="7">
        <v>4.12</v>
      </c>
      <c r="H171" s="7">
        <v>4.22</v>
      </c>
      <c r="I171" s="4">
        <v>-0.39560000000000001</v>
      </c>
      <c r="J171" s="2">
        <v>5.6631</v>
      </c>
      <c r="K171" s="1" t="s">
        <v>620</v>
      </c>
      <c r="L171" s="4">
        <v>0.57761288507525699</v>
      </c>
      <c r="M171"/>
      <c r="N171"/>
      <c r="O171"/>
      <c r="P171"/>
      <c r="Q171"/>
    </row>
    <row r="172" spans="1:17" x14ac:dyDescent="0.3">
      <c r="A172" s="1" t="s">
        <v>427</v>
      </c>
      <c r="B172" s="1" t="s">
        <v>80</v>
      </c>
      <c r="C172">
        <v>2014</v>
      </c>
      <c r="D172" s="7">
        <v>4.1626000000000003</v>
      </c>
      <c r="E172" s="7">
        <v>4.2050000000000001</v>
      </c>
      <c r="F172" s="7">
        <v>5.1920000000000002</v>
      </c>
      <c r="G172" s="7">
        <v>3.2075</v>
      </c>
      <c r="H172" s="7">
        <v>3.97</v>
      </c>
      <c r="I172" s="4">
        <v>-5.9200000000000003E-2</v>
      </c>
      <c r="J172" s="2">
        <v>4.1436000000000002</v>
      </c>
      <c r="K172" s="1" t="s">
        <v>620</v>
      </c>
      <c r="L172" s="4">
        <v>0.47674530341613403</v>
      </c>
      <c r="M172"/>
      <c r="N172"/>
      <c r="O172"/>
      <c r="P172"/>
      <c r="Q172"/>
    </row>
    <row r="173" spans="1:17" x14ac:dyDescent="0.3">
      <c r="A173" s="1" t="s">
        <v>426</v>
      </c>
      <c r="B173" s="1" t="s">
        <v>80</v>
      </c>
      <c r="C173">
        <v>2015</v>
      </c>
      <c r="D173" s="7">
        <v>3.7829000000000002</v>
      </c>
      <c r="E173" s="7">
        <v>3.9575</v>
      </c>
      <c r="F173" s="7">
        <v>4.4074999999999998</v>
      </c>
      <c r="G173" s="7">
        <v>3.4824999999999999</v>
      </c>
      <c r="H173" s="7">
        <v>3.5874999999999999</v>
      </c>
      <c r="I173" s="4">
        <v>-9.6299999999999997E-2</v>
      </c>
      <c r="J173" s="2">
        <v>3.8588</v>
      </c>
      <c r="K173" s="1" t="s">
        <v>620</v>
      </c>
      <c r="L173" s="4">
        <v>0.24452139892674901</v>
      </c>
      <c r="M173"/>
      <c r="N173"/>
      <c r="O173"/>
      <c r="P173"/>
      <c r="Q173"/>
    </row>
    <row r="174" spans="1:17" x14ac:dyDescent="0.3">
      <c r="A174" s="1" t="s">
        <v>425</v>
      </c>
      <c r="B174" s="1" t="s">
        <v>80</v>
      </c>
      <c r="C174">
        <v>2016</v>
      </c>
      <c r="D174" s="7">
        <v>3.5964</v>
      </c>
      <c r="E174" s="7">
        <v>3.5150000000000001</v>
      </c>
      <c r="F174" s="7">
        <v>4.3775000000000004</v>
      </c>
      <c r="G174" s="7">
        <v>3.1105</v>
      </c>
      <c r="H174" s="7">
        <v>3.52</v>
      </c>
      <c r="I174" s="4">
        <v>-1.8800000000000001E-2</v>
      </c>
      <c r="J174" s="2">
        <v>3.6307999999999998</v>
      </c>
      <c r="K174" s="1" t="s">
        <v>620</v>
      </c>
      <c r="L174" s="4">
        <v>0.35229674118562998</v>
      </c>
      <c r="M174"/>
      <c r="N174"/>
      <c r="O174"/>
      <c r="P174"/>
      <c r="Q174"/>
    </row>
    <row r="175" spans="1:17" x14ac:dyDescent="0.3">
      <c r="A175" s="1" t="s">
        <v>424</v>
      </c>
      <c r="B175" s="1" t="s">
        <v>80</v>
      </c>
      <c r="C175">
        <v>2017</v>
      </c>
      <c r="D175" s="7">
        <v>3.6162000000000001</v>
      </c>
      <c r="E175" s="7">
        <v>3.5575000000000001</v>
      </c>
      <c r="F175" s="7">
        <v>4.0199999999999996</v>
      </c>
      <c r="G175" s="7">
        <v>3.3650000000000002</v>
      </c>
      <c r="H175" s="7">
        <v>3.5074999999999998</v>
      </c>
      <c r="I175" s="4">
        <v>-3.5999999999999999E-3</v>
      </c>
      <c r="J175" s="2">
        <v>3.6124999999999998</v>
      </c>
      <c r="K175" s="1" t="s">
        <v>620</v>
      </c>
      <c r="L175" s="4">
        <v>0.18112936231403101</v>
      </c>
      <c r="M175"/>
      <c r="N175"/>
      <c r="O175"/>
      <c r="P175"/>
      <c r="Q175"/>
    </row>
    <row r="176" spans="1:17" x14ac:dyDescent="0.3">
      <c r="A176" s="1" t="s">
        <v>423</v>
      </c>
      <c r="B176" s="1" t="s">
        <v>80</v>
      </c>
      <c r="C176">
        <v>2018</v>
      </c>
      <c r="D176" s="7">
        <v>3.7042999999999999</v>
      </c>
      <c r="E176" s="7">
        <v>3.5325000000000002</v>
      </c>
      <c r="F176" s="7">
        <v>4.085</v>
      </c>
      <c r="G176" s="7">
        <v>3.4</v>
      </c>
      <c r="H176" s="7">
        <v>3.75</v>
      </c>
      <c r="I176" s="4">
        <v>6.9099999999999995E-2</v>
      </c>
      <c r="J176" s="2">
        <v>3.6919</v>
      </c>
      <c r="K176" s="1" t="s">
        <v>619</v>
      </c>
      <c r="L176" s="4">
        <v>0.18492022784331699</v>
      </c>
      <c r="M176"/>
      <c r="N176"/>
      <c r="O176"/>
      <c r="P176"/>
      <c r="Q176"/>
    </row>
    <row r="177" spans="1:17" x14ac:dyDescent="0.3">
      <c r="A177" s="1" t="s">
        <v>422</v>
      </c>
      <c r="B177" s="1" t="s">
        <v>80</v>
      </c>
      <c r="C177">
        <v>2019</v>
      </c>
      <c r="D177" s="7">
        <v>3.8544</v>
      </c>
      <c r="E177" s="7">
        <v>3.7574999999999998</v>
      </c>
      <c r="F177" s="7">
        <v>4.5475000000000003</v>
      </c>
      <c r="G177" s="7">
        <v>3.4674999999999998</v>
      </c>
      <c r="H177" s="7">
        <v>3.8774999999999999</v>
      </c>
      <c r="I177" s="4">
        <v>3.4000000000000002E-2</v>
      </c>
      <c r="J177" s="2">
        <v>3.9125000000000001</v>
      </c>
      <c r="K177" s="1" t="s">
        <v>619</v>
      </c>
      <c r="L177" s="4">
        <v>0.28019925280199298</v>
      </c>
      <c r="M177"/>
      <c r="N177"/>
      <c r="O177"/>
      <c r="P177"/>
      <c r="Q177"/>
    </row>
    <row r="178" spans="1:17" x14ac:dyDescent="0.3">
      <c r="A178" s="1" t="s">
        <v>421</v>
      </c>
      <c r="B178" s="1" t="s">
        <v>80</v>
      </c>
      <c r="C178">
        <v>2020</v>
      </c>
      <c r="D178" s="7">
        <v>3.6393</v>
      </c>
      <c r="E178" s="7">
        <v>3.915</v>
      </c>
      <c r="F178" s="7">
        <v>4.84</v>
      </c>
      <c r="G178" s="7">
        <v>3.0644999999999998</v>
      </c>
      <c r="H178" s="7">
        <v>4.84</v>
      </c>
      <c r="I178" s="4">
        <v>0.2482</v>
      </c>
      <c r="J178" s="2">
        <v>4.1649000000000003</v>
      </c>
      <c r="K178" s="1" t="s">
        <v>619</v>
      </c>
      <c r="L178" s="4">
        <v>0.48786854614898501</v>
      </c>
      <c r="M178"/>
      <c r="N178"/>
      <c r="O178"/>
      <c r="P178"/>
      <c r="Q178"/>
    </row>
    <row r="179" spans="1:17" x14ac:dyDescent="0.3">
      <c r="A179" s="1" t="s">
        <v>420</v>
      </c>
      <c r="B179" s="1" t="s">
        <v>80</v>
      </c>
      <c r="C179">
        <v>2021</v>
      </c>
      <c r="D179" s="7">
        <v>5.7491000000000003</v>
      </c>
      <c r="E179" s="7">
        <v>4.8375000000000004</v>
      </c>
      <c r="F179" s="7">
        <v>7.3224999999999998</v>
      </c>
      <c r="G179" s="7">
        <v>4.8375000000000004</v>
      </c>
      <c r="H179" s="7">
        <v>5.9325000000000001</v>
      </c>
      <c r="I179" s="4">
        <v>0.22570000000000001</v>
      </c>
      <c r="J179" s="2">
        <v>5.7324999999999999</v>
      </c>
      <c r="K179" s="1" t="s">
        <v>619</v>
      </c>
      <c r="L179" s="4">
        <v>0.432241568245464</v>
      </c>
      <c r="M179"/>
      <c r="N179"/>
      <c r="O179"/>
      <c r="P179"/>
      <c r="Q179"/>
    </row>
    <row r="180" spans="1:17" x14ac:dyDescent="0.3">
      <c r="A180" s="1" t="s">
        <v>419</v>
      </c>
      <c r="B180" s="1" t="s">
        <v>80</v>
      </c>
      <c r="C180">
        <v>2022</v>
      </c>
      <c r="D180" s="7">
        <v>6.9428999999999998</v>
      </c>
      <c r="E180" s="7">
        <v>5.8925000000000001</v>
      </c>
      <c r="F180" s="7">
        <v>8.1575000000000006</v>
      </c>
      <c r="G180" s="7">
        <v>5.6224999999999996</v>
      </c>
      <c r="H180" s="7">
        <v>6.7850000000000001</v>
      </c>
      <c r="I180" s="4">
        <v>0.14369999999999999</v>
      </c>
      <c r="J180" s="2">
        <v>6.6143999999999998</v>
      </c>
      <c r="K180" s="1" t="s">
        <v>619</v>
      </c>
      <c r="L180" s="4">
        <v>0.36512120295553702</v>
      </c>
      <c r="M180"/>
      <c r="N180"/>
      <c r="O180"/>
      <c r="P180"/>
      <c r="Q180"/>
    </row>
    <row r="181" spans="1:17" x14ac:dyDescent="0.3">
      <c r="A181" s="1" t="s">
        <v>418</v>
      </c>
      <c r="B181" s="1" t="s">
        <v>80</v>
      </c>
      <c r="C181">
        <v>2023</v>
      </c>
      <c r="D181" s="7">
        <v>5.6578999999999997</v>
      </c>
      <c r="E181" s="7">
        <v>6.7850000000000001</v>
      </c>
      <c r="F181" s="7">
        <v>6.8525</v>
      </c>
      <c r="G181" s="7">
        <v>4.4974999999999996</v>
      </c>
      <c r="H181" s="7">
        <v>4.7074999999999996</v>
      </c>
      <c r="I181" s="4">
        <v>-0.30620000000000003</v>
      </c>
      <c r="J181" s="2">
        <v>5.7106000000000003</v>
      </c>
      <c r="K181" s="1" t="s">
        <v>620</v>
      </c>
      <c r="L181" s="4">
        <v>0.41623217094681803</v>
      </c>
      <c r="M181"/>
      <c r="N181"/>
      <c r="O181"/>
      <c r="P181"/>
      <c r="Q181"/>
    </row>
    <row r="182" spans="1:17" x14ac:dyDescent="0.3">
      <c r="A182" s="1" t="s">
        <v>417</v>
      </c>
      <c r="B182" s="1" t="s">
        <v>80</v>
      </c>
      <c r="C182">
        <v>2024</v>
      </c>
      <c r="D182" s="7">
        <v>4.4001999999999999</v>
      </c>
      <c r="E182" s="7">
        <v>4.7125000000000004</v>
      </c>
      <c r="F182" s="7">
        <v>4.7125000000000004</v>
      </c>
      <c r="G182" s="7">
        <v>3.9975000000000001</v>
      </c>
      <c r="H182" s="7">
        <v>4.49</v>
      </c>
      <c r="I182" s="4">
        <v>-4.6199999999999998E-2</v>
      </c>
      <c r="J182" s="2">
        <v>4.4781000000000004</v>
      </c>
      <c r="K182" s="1" t="s">
        <v>620</v>
      </c>
      <c r="L182" s="4">
        <v>0.162492613972092</v>
      </c>
      <c r="M182"/>
      <c r="N182"/>
      <c r="O182"/>
      <c r="P182"/>
      <c r="Q182"/>
    </row>
    <row r="183" spans="1:17" x14ac:dyDescent="0.3">
      <c r="A183" s="1" t="s">
        <v>180</v>
      </c>
      <c r="B183" s="1" t="s">
        <v>75</v>
      </c>
      <c r="C183">
        <v>1973</v>
      </c>
      <c r="D183" s="7">
        <v>0.59870000000000001</v>
      </c>
      <c r="E183" s="7">
        <v>0.36099999999999999</v>
      </c>
      <c r="F183" s="7">
        <v>0.95020000000000004</v>
      </c>
      <c r="G183" s="7">
        <v>0.36099999999999999</v>
      </c>
      <c r="H183" s="7">
        <v>0.88749999999999996</v>
      </c>
      <c r="I183" s="4">
        <v>1.5</v>
      </c>
      <c r="J183" s="2">
        <v>0.63990000000000002</v>
      </c>
      <c r="K183" s="1" t="s">
        <v>619</v>
      </c>
      <c r="L183" s="4">
        <v>0.98413228662101204</v>
      </c>
      <c r="M183"/>
      <c r="N183"/>
      <c r="O183"/>
      <c r="P183"/>
      <c r="Q183"/>
    </row>
    <row r="184" spans="1:17" x14ac:dyDescent="0.3">
      <c r="A184" s="1" t="s">
        <v>179</v>
      </c>
      <c r="B184" s="1" t="s">
        <v>75</v>
      </c>
      <c r="C184">
        <v>1974</v>
      </c>
      <c r="D184" s="7">
        <v>0.57130000000000003</v>
      </c>
      <c r="E184" s="7">
        <v>0.86750000000000005</v>
      </c>
      <c r="F184" s="7">
        <v>0.88959999999999995</v>
      </c>
      <c r="G184" s="7">
        <v>0.36759999999999998</v>
      </c>
      <c r="H184" s="7">
        <v>0.36849999999999999</v>
      </c>
      <c r="I184" s="4">
        <v>-0.58479999999999999</v>
      </c>
      <c r="J184" s="2">
        <v>0.62329999999999997</v>
      </c>
      <c r="K184" s="1" t="s">
        <v>620</v>
      </c>
      <c r="L184" s="4">
        <v>0.91370558375634503</v>
      </c>
      <c r="M184"/>
      <c r="N184"/>
      <c r="O184"/>
      <c r="P184"/>
      <c r="Q184"/>
    </row>
    <row r="185" spans="1:17" x14ac:dyDescent="0.3">
      <c r="A185" s="1" t="s">
        <v>178</v>
      </c>
      <c r="B185" s="1" t="s">
        <v>75</v>
      </c>
      <c r="C185">
        <v>1975</v>
      </c>
      <c r="D185" s="7">
        <v>0.47889999999999999</v>
      </c>
      <c r="E185" s="7">
        <v>0.38469999999999999</v>
      </c>
      <c r="F185" s="7">
        <v>0.6129</v>
      </c>
      <c r="G185" s="7">
        <v>0.3765</v>
      </c>
      <c r="H185" s="7">
        <v>0.60870000000000002</v>
      </c>
      <c r="I185" s="4">
        <v>0.65180000000000005</v>
      </c>
      <c r="J185" s="2">
        <v>0.49569999999999997</v>
      </c>
      <c r="K185" s="1" t="s">
        <v>619</v>
      </c>
      <c r="L185" s="4">
        <v>0.49363123825433303</v>
      </c>
      <c r="M185"/>
      <c r="N185"/>
      <c r="O185"/>
      <c r="P185"/>
      <c r="Q185"/>
    </row>
    <row r="186" spans="1:17" x14ac:dyDescent="0.3">
      <c r="A186" s="1" t="s">
        <v>177</v>
      </c>
      <c r="B186" s="1" t="s">
        <v>75</v>
      </c>
      <c r="C186">
        <v>1976</v>
      </c>
      <c r="D186" s="7">
        <v>0.71760000000000002</v>
      </c>
      <c r="E186" s="7">
        <v>0.62119999999999997</v>
      </c>
      <c r="F186" s="7">
        <v>0.92359999999999998</v>
      </c>
      <c r="G186" s="7">
        <v>0.5696</v>
      </c>
      <c r="H186" s="7">
        <v>0.752</v>
      </c>
      <c r="I186" s="4">
        <v>0.2354</v>
      </c>
      <c r="J186" s="2">
        <v>0.71660000000000001</v>
      </c>
      <c r="K186" s="1" t="s">
        <v>619</v>
      </c>
      <c r="L186" s="4">
        <v>0.493311036789298</v>
      </c>
      <c r="M186"/>
      <c r="N186"/>
      <c r="O186"/>
      <c r="P186"/>
      <c r="Q186"/>
    </row>
    <row r="187" spans="1:17" x14ac:dyDescent="0.3">
      <c r="A187" s="1" t="s">
        <v>176</v>
      </c>
      <c r="B187" s="1" t="s">
        <v>75</v>
      </c>
      <c r="C187">
        <v>1977</v>
      </c>
      <c r="D187" s="7">
        <v>0.63500000000000001</v>
      </c>
      <c r="E187" s="7">
        <v>0.73199999999999998</v>
      </c>
      <c r="F187" s="7">
        <v>0.82150000000000001</v>
      </c>
      <c r="G187" s="7">
        <v>0.50249999999999995</v>
      </c>
      <c r="H187" s="7">
        <v>0.53690000000000004</v>
      </c>
      <c r="I187" s="4">
        <v>-0.28599999999999998</v>
      </c>
      <c r="J187" s="2">
        <v>0.6482</v>
      </c>
      <c r="K187" s="1" t="s">
        <v>620</v>
      </c>
      <c r="L187" s="4">
        <v>0.50236220472440996</v>
      </c>
      <c r="M187"/>
      <c r="N187"/>
      <c r="O187"/>
      <c r="P187"/>
      <c r="Q187"/>
    </row>
    <row r="188" spans="1:17" x14ac:dyDescent="0.3">
      <c r="A188" s="1" t="s">
        <v>175</v>
      </c>
      <c r="B188" s="1" t="s">
        <v>75</v>
      </c>
      <c r="C188">
        <v>1978</v>
      </c>
      <c r="D188" s="7">
        <v>0.61240000000000006</v>
      </c>
      <c r="E188" s="7">
        <v>0.54220000000000002</v>
      </c>
      <c r="F188" s="7">
        <v>0.71840000000000004</v>
      </c>
      <c r="G188" s="7">
        <v>0.53269999999999995</v>
      </c>
      <c r="H188" s="7">
        <v>0.67569999999999997</v>
      </c>
      <c r="I188" s="4">
        <v>0.25850000000000001</v>
      </c>
      <c r="J188" s="2">
        <v>0.61719999999999997</v>
      </c>
      <c r="K188" s="1" t="s">
        <v>619</v>
      </c>
      <c r="L188" s="4">
        <v>0.30323318092749801</v>
      </c>
      <c r="M188"/>
      <c r="N188"/>
      <c r="O188"/>
      <c r="P188"/>
      <c r="Q188"/>
    </row>
    <row r="189" spans="1:17" x14ac:dyDescent="0.3">
      <c r="A189" s="1" t="s">
        <v>174</v>
      </c>
      <c r="B189" s="1" t="s">
        <v>75</v>
      </c>
      <c r="C189">
        <v>1979</v>
      </c>
      <c r="D189" s="7">
        <v>0.64780000000000004</v>
      </c>
      <c r="E189" s="7">
        <v>0.67379999999999995</v>
      </c>
      <c r="F189" s="7">
        <v>0.74170000000000003</v>
      </c>
      <c r="G189" s="7">
        <v>0.57569999999999999</v>
      </c>
      <c r="H189" s="7">
        <v>0.74060000000000004</v>
      </c>
      <c r="I189" s="4">
        <v>9.6000000000000002E-2</v>
      </c>
      <c r="J189" s="2">
        <v>0.68300000000000005</v>
      </c>
      <c r="K189" s="1" t="s">
        <v>619</v>
      </c>
      <c r="L189" s="4">
        <v>0.25625192960790399</v>
      </c>
      <c r="M189"/>
      <c r="N189"/>
      <c r="O189"/>
      <c r="P189"/>
      <c r="Q189"/>
    </row>
    <row r="190" spans="1:17" x14ac:dyDescent="0.3">
      <c r="A190" s="1" t="s">
        <v>173</v>
      </c>
      <c r="B190" s="1" t="s">
        <v>75</v>
      </c>
      <c r="C190">
        <v>1980</v>
      </c>
      <c r="D190" s="7">
        <v>0.84799999999999998</v>
      </c>
      <c r="E190" s="7">
        <v>0.75149999999999995</v>
      </c>
      <c r="F190" s="7">
        <v>0.97770000000000001</v>
      </c>
      <c r="G190" s="7">
        <v>0.71779999999999999</v>
      </c>
      <c r="H190" s="7">
        <v>0.95120000000000005</v>
      </c>
      <c r="I190" s="4">
        <v>0.28439999999999999</v>
      </c>
      <c r="J190" s="2">
        <v>0.84960000000000002</v>
      </c>
      <c r="K190" s="1" t="s">
        <v>619</v>
      </c>
      <c r="L190" s="4">
        <v>0.30648584905660398</v>
      </c>
      <c r="M190"/>
      <c r="N190"/>
      <c r="O190"/>
      <c r="P190"/>
      <c r="Q190"/>
    </row>
    <row r="191" spans="1:17" x14ac:dyDescent="0.3">
      <c r="A191" s="1" t="s">
        <v>172</v>
      </c>
      <c r="B191" s="1" t="s">
        <v>75</v>
      </c>
      <c r="C191">
        <v>1981</v>
      </c>
      <c r="D191" s="7">
        <v>0.76980000000000004</v>
      </c>
      <c r="E191" s="7">
        <v>0.94650000000000001</v>
      </c>
      <c r="F191" s="7">
        <v>0.95499999999999996</v>
      </c>
      <c r="G191" s="7">
        <v>0.60940000000000005</v>
      </c>
      <c r="H191" s="7">
        <v>0.64270000000000005</v>
      </c>
      <c r="I191" s="4">
        <v>-0.32429999999999998</v>
      </c>
      <c r="J191" s="2">
        <v>0.78839999999999999</v>
      </c>
      <c r="K191" s="1" t="s">
        <v>620</v>
      </c>
      <c r="L191" s="4">
        <v>0.44894777864380297</v>
      </c>
      <c r="M191"/>
      <c r="N191"/>
      <c r="O191"/>
      <c r="P191"/>
      <c r="Q191"/>
    </row>
    <row r="192" spans="1:17" x14ac:dyDescent="0.3">
      <c r="A192" s="1" t="s">
        <v>171</v>
      </c>
      <c r="B192" s="1" t="s">
        <v>75</v>
      </c>
      <c r="C192">
        <v>1982</v>
      </c>
      <c r="D192" s="7">
        <v>0.65629999999999999</v>
      </c>
      <c r="E192" s="7">
        <v>0.6542</v>
      </c>
      <c r="F192" s="7">
        <v>0.72440000000000004</v>
      </c>
      <c r="G192" s="7">
        <v>0.61299999999999999</v>
      </c>
      <c r="H192" s="7">
        <v>0.65920000000000001</v>
      </c>
      <c r="I192" s="4">
        <v>2.5700000000000001E-2</v>
      </c>
      <c r="J192" s="2">
        <v>0.66269999999999996</v>
      </c>
      <c r="K192" s="1" t="s">
        <v>619</v>
      </c>
      <c r="L192" s="4">
        <v>0.169739448422977</v>
      </c>
      <c r="M192"/>
      <c r="N192"/>
      <c r="O192"/>
      <c r="P192"/>
      <c r="Q192"/>
    </row>
    <row r="193" spans="1:17" x14ac:dyDescent="0.3">
      <c r="A193" s="1" t="s">
        <v>170</v>
      </c>
      <c r="B193" s="1" t="s">
        <v>75</v>
      </c>
      <c r="C193">
        <v>1983</v>
      </c>
      <c r="D193" s="7">
        <v>0.75070000000000003</v>
      </c>
      <c r="E193" s="7">
        <v>0.6583</v>
      </c>
      <c r="F193" s="7">
        <v>0.81079999999999997</v>
      </c>
      <c r="G193" s="7">
        <v>0.65029999999999999</v>
      </c>
      <c r="H193" s="7">
        <v>0.77110000000000001</v>
      </c>
      <c r="I193" s="4">
        <v>0.16980000000000001</v>
      </c>
      <c r="J193" s="2">
        <v>0.72260000000000002</v>
      </c>
      <c r="K193" s="1" t="s">
        <v>619</v>
      </c>
      <c r="L193" s="4">
        <v>0.213800452910617</v>
      </c>
      <c r="M193"/>
      <c r="N193"/>
      <c r="O193"/>
      <c r="P193"/>
      <c r="Q193"/>
    </row>
    <row r="194" spans="1:17" x14ac:dyDescent="0.3">
      <c r="A194" s="1" t="s">
        <v>169</v>
      </c>
      <c r="B194" s="1" t="s">
        <v>75</v>
      </c>
      <c r="C194">
        <v>1984</v>
      </c>
      <c r="D194" s="7">
        <v>0.72799999999999998</v>
      </c>
      <c r="E194" s="7">
        <v>0.75319999999999998</v>
      </c>
      <c r="F194" s="7">
        <v>0.86109999999999998</v>
      </c>
      <c r="G194" s="7">
        <v>0.63449999999999995</v>
      </c>
      <c r="H194" s="7">
        <v>0.66169999999999995</v>
      </c>
      <c r="I194" s="4">
        <v>-0.1419</v>
      </c>
      <c r="J194" s="2">
        <v>0.72760000000000002</v>
      </c>
      <c r="K194" s="1" t="s">
        <v>620</v>
      </c>
      <c r="L194" s="4">
        <v>0.31126373626373599</v>
      </c>
      <c r="M194"/>
      <c r="N194"/>
      <c r="O194"/>
      <c r="P194"/>
      <c r="Q194"/>
    </row>
    <row r="195" spans="1:17" x14ac:dyDescent="0.3">
      <c r="A195" s="1" t="s">
        <v>168</v>
      </c>
      <c r="B195" s="1" t="s">
        <v>75</v>
      </c>
      <c r="C195">
        <v>1985</v>
      </c>
      <c r="D195" s="7">
        <v>0.62680000000000002</v>
      </c>
      <c r="E195" s="7">
        <v>0.66039999999999999</v>
      </c>
      <c r="F195" s="7">
        <v>0.70050000000000001</v>
      </c>
      <c r="G195" s="7">
        <v>0.57650000000000001</v>
      </c>
      <c r="H195" s="7">
        <v>0.62060000000000004</v>
      </c>
      <c r="I195" s="4">
        <v>-6.2100000000000002E-2</v>
      </c>
      <c r="J195" s="2">
        <v>0.63949999999999996</v>
      </c>
      <c r="K195" s="1" t="s">
        <v>620</v>
      </c>
      <c r="L195" s="4">
        <v>0.19783024888321599</v>
      </c>
      <c r="M195"/>
      <c r="N195"/>
      <c r="O195"/>
      <c r="P195"/>
      <c r="Q195"/>
    </row>
    <row r="196" spans="1:17" x14ac:dyDescent="0.3">
      <c r="A196" s="1" t="s">
        <v>167</v>
      </c>
      <c r="B196" s="1" t="s">
        <v>75</v>
      </c>
      <c r="C196">
        <v>1986</v>
      </c>
      <c r="D196" s="7">
        <v>0.53280000000000005</v>
      </c>
      <c r="E196" s="7">
        <v>0.62280000000000002</v>
      </c>
      <c r="F196" s="7">
        <v>0.68589999999999995</v>
      </c>
      <c r="G196" s="7">
        <v>0.30009999999999998</v>
      </c>
      <c r="H196" s="7">
        <v>0.59279999999999999</v>
      </c>
      <c r="I196" s="4">
        <v>-4.48E-2</v>
      </c>
      <c r="J196" s="2">
        <v>0.5504</v>
      </c>
      <c r="K196" s="1" t="s">
        <v>620</v>
      </c>
      <c r="L196" s="4">
        <v>0.72409909909909898</v>
      </c>
      <c r="M196"/>
      <c r="N196"/>
      <c r="O196"/>
      <c r="P196"/>
      <c r="Q196"/>
    </row>
    <row r="197" spans="1:17" x14ac:dyDescent="0.3">
      <c r="A197" s="1" t="s">
        <v>166</v>
      </c>
      <c r="B197" s="1" t="s">
        <v>75</v>
      </c>
      <c r="C197">
        <v>1987</v>
      </c>
      <c r="D197" s="7">
        <v>0.67369999999999997</v>
      </c>
      <c r="E197" s="7">
        <v>0.58520000000000005</v>
      </c>
      <c r="F197" s="7">
        <v>0.80389999999999995</v>
      </c>
      <c r="G197" s="7">
        <v>0.52649999999999997</v>
      </c>
      <c r="H197" s="7">
        <v>0.66759999999999997</v>
      </c>
      <c r="I197" s="4">
        <v>0.12620000000000001</v>
      </c>
      <c r="J197" s="2">
        <v>0.64580000000000004</v>
      </c>
      <c r="K197" s="1" t="s">
        <v>619</v>
      </c>
      <c r="L197" s="4">
        <v>0.41175597446934797</v>
      </c>
      <c r="M197"/>
      <c r="N197"/>
      <c r="O197"/>
      <c r="P197"/>
      <c r="Q197"/>
    </row>
    <row r="198" spans="1:17" x14ac:dyDescent="0.3">
      <c r="A198" s="1" t="s">
        <v>165</v>
      </c>
      <c r="B198" s="1" t="s">
        <v>75</v>
      </c>
      <c r="C198">
        <v>1988</v>
      </c>
      <c r="D198" s="7">
        <v>0.59650000000000003</v>
      </c>
      <c r="E198" s="7">
        <v>0.67479999999999996</v>
      </c>
      <c r="F198" s="7">
        <v>0.69450000000000001</v>
      </c>
      <c r="G198" s="7">
        <v>0.504</v>
      </c>
      <c r="H198" s="7">
        <v>0.58489999999999998</v>
      </c>
      <c r="I198" s="4">
        <v>-0.1239</v>
      </c>
      <c r="J198" s="2">
        <v>0.61460000000000004</v>
      </c>
      <c r="K198" s="1" t="s">
        <v>620</v>
      </c>
      <c r="L198" s="4">
        <v>0.31936295054484498</v>
      </c>
      <c r="M198"/>
      <c r="N198"/>
      <c r="O198"/>
      <c r="P198"/>
      <c r="Q198"/>
    </row>
    <row r="199" spans="1:17" x14ac:dyDescent="0.3">
      <c r="A199" s="1" t="s">
        <v>164</v>
      </c>
      <c r="B199" s="1" t="s">
        <v>75</v>
      </c>
      <c r="C199">
        <v>1989</v>
      </c>
      <c r="D199" s="7">
        <v>0.67889999999999995</v>
      </c>
      <c r="E199" s="7">
        <v>0.56669999999999998</v>
      </c>
      <c r="F199" s="7">
        <v>0.76270000000000004</v>
      </c>
      <c r="G199" s="7">
        <v>0.56130000000000002</v>
      </c>
      <c r="H199" s="7">
        <v>0.69069999999999998</v>
      </c>
      <c r="I199" s="4">
        <v>0.18090000000000001</v>
      </c>
      <c r="J199" s="2">
        <v>0.64539999999999997</v>
      </c>
      <c r="K199" s="1" t="s">
        <v>619</v>
      </c>
      <c r="L199" s="4">
        <v>0.296656355869789</v>
      </c>
      <c r="M199"/>
      <c r="N199"/>
      <c r="O199"/>
      <c r="P199"/>
      <c r="Q199"/>
    </row>
    <row r="200" spans="1:17" x14ac:dyDescent="0.3">
      <c r="A200" s="1" t="s">
        <v>163</v>
      </c>
      <c r="B200" s="1" t="s">
        <v>75</v>
      </c>
      <c r="C200">
        <v>1990</v>
      </c>
      <c r="D200" s="7">
        <v>0.73899999999999999</v>
      </c>
      <c r="E200" s="7">
        <v>0.68340000000000001</v>
      </c>
      <c r="F200" s="7">
        <v>0.84770000000000001</v>
      </c>
      <c r="G200" s="7">
        <v>0.64510000000000001</v>
      </c>
      <c r="H200" s="7">
        <v>0.77800000000000002</v>
      </c>
      <c r="I200" s="4">
        <v>0.12640000000000001</v>
      </c>
      <c r="J200" s="2">
        <v>0.73860000000000003</v>
      </c>
      <c r="K200" s="1" t="s">
        <v>619</v>
      </c>
      <c r="L200" s="4">
        <v>0.27415426251691499</v>
      </c>
      <c r="M200"/>
      <c r="N200"/>
      <c r="O200"/>
      <c r="P200"/>
      <c r="Q200"/>
    </row>
    <row r="201" spans="1:17" x14ac:dyDescent="0.3">
      <c r="A201" s="1" t="s">
        <v>162</v>
      </c>
      <c r="B201" s="1" t="s">
        <v>75</v>
      </c>
      <c r="C201">
        <v>1991</v>
      </c>
      <c r="D201" s="7">
        <v>0.7389</v>
      </c>
      <c r="E201" s="7">
        <v>0.75800000000000001</v>
      </c>
      <c r="F201" s="7">
        <v>0.9405</v>
      </c>
      <c r="G201" s="7">
        <v>0.56200000000000006</v>
      </c>
      <c r="H201" s="7">
        <v>0.5917</v>
      </c>
      <c r="I201" s="4">
        <v>-0.23949999999999999</v>
      </c>
      <c r="J201" s="2">
        <v>0.71299999999999997</v>
      </c>
      <c r="K201" s="1" t="s">
        <v>620</v>
      </c>
      <c r="L201" s="4">
        <v>0.51224793612126096</v>
      </c>
      <c r="M201"/>
      <c r="N201"/>
      <c r="O201"/>
      <c r="P201"/>
      <c r="Q201"/>
    </row>
    <row r="202" spans="1:17" x14ac:dyDescent="0.3">
      <c r="A202" s="1" t="s">
        <v>161</v>
      </c>
      <c r="B202" s="1" t="s">
        <v>75</v>
      </c>
      <c r="C202">
        <v>1992</v>
      </c>
      <c r="D202" s="7">
        <v>0.57879999999999998</v>
      </c>
      <c r="E202" s="7">
        <v>0.5958</v>
      </c>
      <c r="F202" s="7">
        <v>0.65429999999999999</v>
      </c>
      <c r="G202" s="7">
        <v>0.51070000000000004</v>
      </c>
      <c r="H202" s="7">
        <v>0.58860000000000001</v>
      </c>
      <c r="I202" s="4">
        <v>-5.1999999999999998E-3</v>
      </c>
      <c r="J202" s="2">
        <v>0.58740000000000003</v>
      </c>
      <c r="K202" s="1" t="s">
        <v>620</v>
      </c>
      <c r="L202" s="4">
        <v>0.248099516240498</v>
      </c>
      <c r="M202"/>
      <c r="N202"/>
      <c r="O202"/>
      <c r="P202"/>
      <c r="Q202"/>
    </row>
    <row r="203" spans="1:17" x14ac:dyDescent="0.3">
      <c r="A203" s="1" t="s">
        <v>160</v>
      </c>
      <c r="B203" s="1" t="s">
        <v>75</v>
      </c>
      <c r="C203">
        <v>1993</v>
      </c>
      <c r="D203" s="7">
        <v>0.5998</v>
      </c>
      <c r="E203" s="7">
        <v>0.58420000000000005</v>
      </c>
      <c r="F203" s="7">
        <v>0.67879999999999996</v>
      </c>
      <c r="G203" s="7">
        <v>0.53920000000000001</v>
      </c>
      <c r="H203" s="7">
        <v>0.67879999999999996</v>
      </c>
      <c r="I203" s="4">
        <v>0.1532</v>
      </c>
      <c r="J203" s="2">
        <v>0.62019999999999997</v>
      </c>
      <c r="K203" s="1" t="s">
        <v>619</v>
      </c>
      <c r="L203" s="4">
        <v>0.23274424808269401</v>
      </c>
      <c r="M203"/>
      <c r="N203"/>
      <c r="O203"/>
      <c r="P203"/>
      <c r="Q203"/>
    </row>
    <row r="204" spans="1:17" x14ac:dyDescent="0.3">
      <c r="A204" s="1" t="s">
        <v>159</v>
      </c>
      <c r="B204" s="1" t="s">
        <v>75</v>
      </c>
      <c r="C204">
        <v>1994</v>
      </c>
      <c r="D204" s="7">
        <v>0.75290000000000001</v>
      </c>
      <c r="E204" s="7">
        <v>0.67759999999999998</v>
      </c>
      <c r="F204" s="7">
        <v>0.90349999999999997</v>
      </c>
      <c r="G204" s="7">
        <v>0.66469999999999996</v>
      </c>
      <c r="H204" s="7">
        <v>0.90349999999999997</v>
      </c>
      <c r="I204" s="4">
        <v>0.33100000000000002</v>
      </c>
      <c r="J204" s="2">
        <v>0.7873</v>
      </c>
      <c r="K204" s="1" t="s">
        <v>619</v>
      </c>
      <c r="L204" s="4">
        <v>0.31717359543099999</v>
      </c>
      <c r="M204"/>
      <c r="N204"/>
      <c r="O204"/>
      <c r="P204"/>
      <c r="Q204"/>
    </row>
    <row r="205" spans="1:17" x14ac:dyDescent="0.3">
      <c r="A205" s="1" t="s">
        <v>158</v>
      </c>
      <c r="B205" s="1" t="s">
        <v>75</v>
      </c>
      <c r="C205">
        <v>1995</v>
      </c>
      <c r="D205" s="7">
        <v>0.92900000000000005</v>
      </c>
      <c r="E205" s="7">
        <v>0.88349999999999995</v>
      </c>
      <c r="F205" s="7">
        <v>1.1688000000000001</v>
      </c>
      <c r="G205" s="7">
        <v>0.73070000000000002</v>
      </c>
      <c r="H205" s="7">
        <v>0.8105</v>
      </c>
      <c r="I205" s="4">
        <v>-0.10290000000000001</v>
      </c>
      <c r="J205" s="2">
        <v>0.89839999999999998</v>
      </c>
      <c r="K205" s="1" t="s">
        <v>620</v>
      </c>
      <c r="L205" s="4">
        <v>0.47158234660925702</v>
      </c>
      <c r="M205"/>
      <c r="N205"/>
      <c r="O205"/>
      <c r="P205"/>
      <c r="Q205"/>
    </row>
    <row r="206" spans="1:17" x14ac:dyDescent="0.3">
      <c r="A206" s="1" t="s">
        <v>157</v>
      </c>
      <c r="B206" s="1" t="s">
        <v>75</v>
      </c>
      <c r="C206">
        <v>1996</v>
      </c>
      <c r="D206" s="7">
        <v>0.78339999999999999</v>
      </c>
      <c r="E206" s="7">
        <v>0.80669999999999997</v>
      </c>
      <c r="F206" s="7">
        <v>0.88049999999999995</v>
      </c>
      <c r="G206" s="7">
        <v>0.7</v>
      </c>
      <c r="H206" s="7">
        <v>0.75149999999999995</v>
      </c>
      <c r="I206" s="4">
        <v>-7.2800000000000004E-2</v>
      </c>
      <c r="J206" s="2">
        <v>0.78469999999999995</v>
      </c>
      <c r="K206" s="1" t="s">
        <v>620</v>
      </c>
      <c r="L206" s="4">
        <v>0.230405922900179</v>
      </c>
      <c r="M206"/>
      <c r="N206"/>
      <c r="O206"/>
      <c r="P206"/>
      <c r="Q206"/>
    </row>
    <row r="207" spans="1:17" x14ac:dyDescent="0.3">
      <c r="A207" s="1" t="s">
        <v>156</v>
      </c>
      <c r="B207" s="1" t="s">
        <v>75</v>
      </c>
      <c r="C207">
        <v>1997</v>
      </c>
      <c r="D207" s="7">
        <v>0.72719999999999996</v>
      </c>
      <c r="E207" s="7">
        <v>0.75380000000000003</v>
      </c>
      <c r="F207" s="7">
        <v>0.77949999999999997</v>
      </c>
      <c r="G207" s="7">
        <v>0.66120000000000001</v>
      </c>
      <c r="H207" s="7">
        <v>0.67069999999999996</v>
      </c>
      <c r="I207" s="4">
        <v>-0.1075</v>
      </c>
      <c r="J207" s="2">
        <v>0.71630000000000005</v>
      </c>
      <c r="K207" s="1" t="s">
        <v>620</v>
      </c>
      <c r="L207" s="4">
        <v>0.16267876787678801</v>
      </c>
      <c r="M207"/>
      <c r="N207"/>
      <c r="O207"/>
      <c r="P207"/>
      <c r="Q207"/>
    </row>
    <row r="208" spans="1:17" x14ac:dyDescent="0.3">
      <c r="A208" s="1" t="s">
        <v>155</v>
      </c>
      <c r="B208" s="1" t="s">
        <v>75</v>
      </c>
      <c r="C208">
        <v>1998</v>
      </c>
      <c r="D208" s="7">
        <v>0.69140000000000001</v>
      </c>
      <c r="E208" s="7">
        <v>0.67110000000000003</v>
      </c>
      <c r="F208" s="7">
        <v>0.80600000000000005</v>
      </c>
      <c r="G208" s="7">
        <v>0.59940000000000004</v>
      </c>
      <c r="H208" s="7">
        <v>0.60360000000000003</v>
      </c>
      <c r="I208" s="4">
        <v>-0.1</v>
      </c>
      <c r="J208" s="2">
        <v>0.67</v>
      </c>
      <c r="K208" s="1" t="s">
        <v>620</v>
      </c>
      <c r="L208" s="4">
        <v>0.29881400057853602</v>
      </c>
      <c r="M208"/>
      <c r="N208"/>
      <c r="O208"/>
      <c r="P208"/>
      <c r="Q208"/>
    </row>
    <row r="209" spans="1:17" x14ac:dyDescent="0.3">
      <c r="A209" s="1" t="s">
        <v>154</v>
      </c>
      <c r="B209" s="1" t="s">
        <v>75</v>
      </c>
      <c r="C209">
        <v>1999</v>
      </c>
      <c r="D209" s="7">
        <v>0.54969999999999997</v>
      </c>
      <c r="E209" s="7">
        <v>0.59030000000000005</v>
      </c>
      <c r="F209" s="7">
        <v>0.62729999999999997</v>
      </c>
      <c r="G209" s="7">
        <v>0.48449999999999999</v>
      </c>
      <c r="H209" s="7">
        <v>0.50739999999999996</v>
      </c>
      <c r="I209" s="4">
        <v>-0.15939999999999999</v>
      </c>
      <c r="J209" s="2">
        <v>0.5524</v>
      </c>
      <c r="K209" s="1" t="s">
        <v>620</v>
      </c>
      <c r="L209" s="4">
        <v>0.25977806076041499</v>
      </c>
      <c r="M209"/>
      <c r="N209"/>
      <c r="O209"/>
      <c r="P209"/>
      <c r="Q209"/>
    </row>
    <row r="210" spans="1:17" x14ac:dyDescent="0.3">
      <c r="A210" s="1" t="s">
        <v>153</v>
      </c>
      <c r="B210" s="1" t="s">
        <v>75</v>
      </c>
      <c r="C210">
        <v>2000</v>
      </c>
      <c r="D210" s="7">
        <v>0.60440000000000005</v>
      </c>
      <c r="E210" s="7">
        <v>0.51070000000000004</v>
      </c>
      <c r="F210" s="7">
        <v>0.67849999999999999</v>
      </c>
      <c r="G210" s="7">
        <v>0.50729999999999997</v>
      </c>
      <c r="H210" s="7">
        <v>0.62280000000000002</v>
      </c>
      <c r="I210" s="4">
        <v>0.22739999999999999</v>
      </c>
      <c r="J210" s="2">
        <v>0.57979999999999998</v>
      </c>
      <c r="K210" s="1" t="s">
        <v>619</v>
      </c>
      <c r="L210" s="4">
        <v>0.28325612177366</v>
      </c>
      <c r="M210"/>
      <c r="N210"/>
      <c r="O210"/>
      <c r="P210"/>
      <c r="Q210"/>
    </row>
    <row r="211" spans="1:17" x14ac:dyDescent="0.3">
      <c r="A211" s="1" t="s">
        <v>152</v>
      </c>
      <c r="B211" s="1" t="s">
        <v>75</v>
      </c>
      <c r="C211">
        <v>2001</v>
      </c>
      <c r="D211" s="7">
        <v>0.43169999999999997</v>
      </c>
      <c r="E211" s="7">
        <v>0.60350000000000004</v>
      </c>
      <c r="F211" s="7">
        <v>0.62009999999999998</v>
      </c>
      <c r="G211" s="7">
        <v>0.28520000000000001</v>
      </c>
      <c r="H211" s="7">
        <v>0.35589999999999999</v>
      </c>
      <c r="I211" s="4">
        <v>-0.42849999999999999</v>
      </c>
      <c r="J211" s="2">
        <v>0.4662</v>
      </c>
      <c r="K211" s="1" t="s">
        <v>620</v>
      </c>
      <c r="L211" s="4">
        <v>0.77577021079453301</v>
      </c>
      <c r="M211"/>
      <c r="N211"/>
      <c r="O211"/>
      <c r="P211"/>
      <c r="Q211"/>
    </row>
    <row r="212" spans="1:17" x14ac:dyDescent="0.3">
      <c r="A212" s="1" t="s">
        <v>151</v>
      </c>
      <c r="B212" s="1" t="s">
        <v>75</v>
      </c>
      <c r="C212">
        <v>2002</v>
      </c>
      <c r="D212" s="7">
        <v>0.41649999999999998</v>
      </c>
      <c r="E212" s="7">
        <v>0.36459999999999998</v>
      </c>
      <c r="F212" s="7">
        <v>0.52170000000000005</v>
      </c>
      <c r="G212" s="7">
        <v>0.3306</v>
      </c>
      <c r="H212" s="7">
        <v>0.51160000000000005</v>
      </c>
      <c r="I212" s="4">
        <v>0.4375</v>
      </c>
      <c r="J212" s="2">
        <v>0.43209999999999998</v>
      </c>
      <c r="K212" s="1" t="s">
        <v>619</v>
      </c>
      <c r="L212" s="4">
        <v>0.45882352941176502</v>
      </c>
      <c r="M212"/>
      <c r="N212"/>
      <c r="O212"/>
      <c r="P212"/>
      <c r="Q212"/>
    </row>
    <row r="213" spans="1:17" x14ac:dyDescent="0.3">
      <c r="A213" s="1" t="s">
        <v>150</v>
      </c>
      <c r="B213" s="1" t="s">
        <v>75</v>
      </c>
      <c r="C213">
        <v>2003</v>
      </c>
      <c r="D213" s="7">
        <v>0.60260000000000002</v>
      </c>
      <c r="E213" s="7">
        <v>0.52010000000000001</v>
      </c>
      <c r="F213" s="7">
        <v>0.82730000000000004</v>
      </c>
      <c r="G213" s="7">
        <v>0.47699999999999998</v>
      </c>
      <c r="H213" s="7">
        <v>0.75070000000000003</v>
      </c>
      <c r="I213" s="4">
        <v>0.46739999999999998</v>
      </c>
      <c r="J213" s="2">
        <v>0.64380000000000004</v>
      </c>
      <c r="K213" s="1" t="s">
        <v>619</v>
      </c>
      <c r="L213" s="4">
        <v>0.58131430467972101</v>
      </c>
      <c r="M213"/>
      <c r="N213"/>
      <c r="O213"/>
      <c r="P213"/>
      <c r="Q213"/>
    </row>
    <row r="214" spans="1:17" x14ac:dyDescent="0.3">
      <c r="A214" s="1" t="s">
        <v>149</v>
      </c>
      <c r="B214" s="1" t="s">
        <v>75</v>
      </c>
      <c r="C214">
        <v>2004</v>
      </c>
      <c r="D214" s="7">
        <v>0.55410000000000004</v>
      </c>
      <c r="E214" s="7">
        <v>0.75800000000000001</v>
      </c>
      <c r="F214" s="7">
        <v>0.75939999999999996</v>
      </c>
      <c r="G214" s="7">
        <v>0.42309999999999998</v>
      </c>
      <c r="H214" s="7">
        <v>0.44769999999999999</v>
      </c>
      <c r="I214" s="4">
        <v>-0.40360000000000001</v>
      </c>
      <c r="J214" s="2">
        <v>0.59699999999999998</v>
      </c>
      <c r="K214" s="1" t="s">
        <v>620</v>
      </c>
      <c r="L214" s="4">
        <v>0.60693015701136999</v>
      </c>
      <c r="M214"/>
      <c r="N214"/>
      <c r="O214"/>
      <c r="P214"/>
      <c r="Q214"/>
    </row>
    <row r="215" spans="1:17" x14ac:dyDescent="0.3">
      <c r="A215" s="1" t="s">
        <v>148</v>
      </c>
      <c r="B215" s="1" t="s">
        <v>75</v>
      </c>
      <c r="C215">
        <v>2005</v>
      </c>
      <c r="D215" s="7">
        <v>0.50570000000000004</v>
      </c>
      <c r="E215" s="7">
        <v>0.44119999999999998</v>
      </c>
      <c r="F215" s="7">
        <v>0.58289999999999997</v>
      </c>
      <c r="G215" s="7">
        <v>0.42699999999999999</v>
      </c>
      <c r="H215" s="7">
        <v>0.54190000000000005</v>
      </c>
      <c r="I215" s="4">
        <v>0.2104</v>
      </c>
      <c r="J215" s="2">
        <v>0.49819999999999998</v>
      </c>
      <c r="K215" s="1" t="s">
        <v>619</v>
      </c>
      <c r="L215" s="4">
        <v>0.30828554478940101</v>
      </c>
      <c r="M215"/>
      <c r="N215"/>
      <c r="O215"/>
      <c r="P215"/>
      <c r="Q215"/>
    </row>
    <row r="216" spans="1:17" x14ac:dyDescent="0.3">
      <c r="A216" s="1" t="s">
        <v>147</v>
      </c>
      <c r="B216" s="1" t="s">
        <v>75</v>
      </c>
      <c r="C216">
        <v>2006</v>
      </c>
      <c r="D216" s="7">
        <v>0.5242</v>
      </c>
      <c r="E216" s="7">
        <v>0.5524</v>
      </c>
      <c r="F216" s="7">
        <v>0.57430000000000003</v>
      </c>
      <c r="G216" s="7">
        <v>0.4612</v>
      </c>
      <c r="H216" s="7">
        <v>0.56189999999999996</v>
      </c>
      <c r="I216" s="4">
        <v>3.6900000000000002E-2</v>
      </c>
      <c r="J216" s="2">
        <v>0.53739999999999999</v>
      </c>
      <c r="K216" s="1" t="s">
        <v>619</v>
      </c>
      <c r="L216" s="4">
        <v>0.21575734452499001</v>
      </c>
      <c r="M216"/>
      <c r="N216"/>
      <c r="O216"/>
      <c r="P216"/>
      <c r="Q216"/>
    </row>
    <row r="217" spans="1:17" x14ac:dyDescent="0.3">
      <c r="A217" s="1" t="s">
        <v>146</v>
      </c>
      <c r="B217" s="1" t="s">
        <v>75</v>
      </c>
      <c r="C217">
        <v>2007</v>
      </c>
      <c r="D217" s="7">
        <v>0.57520000000000004</v>
      </c>
      <c r="E217" s="7">
        <v>0.54890000000000005</v>
      </c>
      <c r="F217" s="7">
        <v>0.68010000000000004</v>
      </c>
      <c r="G217" s="7">
        <v>0.46920000000000001</v>
      </c>
      <c r="H217" s="7">
        <v>0.68010000000000004</v>
      </c>
      <c r="I217" s="4">
        <v>0.2104</v>
      </c>
      <c r="J217" s="2">
        <v>0.59460000000000002</v>
      </c>
      <c r="K217" s="1" t="s">
        <v>619</v>
      </c>
      <c r="L217" s="4">
        <v>0.36665507649513202</v>
      </c>
      <c r="M217"/>
      <c r="N217"/>
      <c r="O217"/>
      <c r="P217"/>
      <c r="Q217"/>
    </row>
    <row r="218" spans="1:17" x14ac:dyDescent="0.3">
      <c r="A218" s="1" t="s">
        <v>145</v>
      </c>
      <c r="B218" s="1" t="s">
        <v>75</v>
      </c>
      <c r="C218">
        <v>2008</v>
      </c>
      <c r="D218" s="7">
        <v>0.63919999999999999</v>
      </c>
      <c r="E218" s="7">
        <v>0.68879999999999997</v>
      </c>
      <c r="F218" s="7">
        <v>0.89280000000000004</v>
      </c>
      <c r="G218" s="7">
        <v>0.39140000000000003</v>
      </c>
      <c r="H218" s="7">
        <v>0.49020000000000002</v>
      </c>
      <c r="I218" s="4">
        <v>-0.2792</v>
      </c>
      <c r="J218" s="2">
        <v>0.61580000000000001</v>
      </c>
      <c r="K218" s="1" t="s">
        <v>620</v>
      </c>
      <c r="L218" s="4">
        <v>0.78441802252815995</v>
      </c>
      <c r="M218"/>
      <c r="N218"/>
      <c r="O218"/>
      <c r="P218"/>
      <c r="Q218"/>
    </row>
    <row r="219" spans="1:17" x14ac:dyDescent="0.3">
      <c r="A219" s="1" t="s">
        <v>144</v>
      </c>
      <c r="B219" s="1" t="s">
        <v>75</v>
      </c>
      <c r="C219">
        <v>2009</v>
      </c>
      <c r="D219" s="7">
        <v>0.57330000000000003</v>
      </c>
      <c r="E219" s="7">
        <v>0.48909999999999998</v>
      </c>
      <c r="F219" s="7">
        <v>0.76249999999999996</v>
      </c>
      <c r="G219" s="7">
        <v>0.4118</v>
      </c>
      <c r="H219" s="7">
        <v>0.75600000000000001</v>
      </c>
      <c r="I219" s="4">
        <v>0.54220000000000002</v>
      </c>
      <c r="J219" s="2">
        <v>0.6048</v>
      </c>
      <c r="K219" s="1" t="s">
        <v>619</v>
      </c>
      <c r="L219" s="4">
        <v>0.61172161172161199</v>
      </c>
      <c r="M219"/>
      <c r="N219"/>
      <c r="O219"/>
      <c r="P219"/>
      <c r="Q219"/>
    </row>
    <row r="220" spans="1:17" x14ac:dyDescent="0.3">
      <c r="A220" s="1" t="s">
        <v>143</v>
      </c>
      <c r="B220" s="1" t="s">
        <v>75</v>
      </c>
      <c r="C220">
        <v>2010</v>
      </c>
      <c r="D220" s="7">
        <v>0.93679999999999997</v>
      </c>
      <c r="E220" s="7">
        <v>0.76</v>
      </c>
      <c r="F220" s="7">
        <v>1.5911999999999999</v>
      </c>
      <c r="G220" s="7">
        <v>0.66620000000000001</v>
      </c>
      <c r="H220" s="7">
        <v>1.4480999999999999</v>
      </c>
      <c r="I220" s="4">
        <v>0.91549999999999998</v>
      </c>
      <c r="J220" s="2">
        <v>1.1164000000000001</v>
      </c>
      <c r="K220" s="1" t="s">
        <v>619</v>
      </c>
      <c r="L220" s="4">
        <v>0.98740392826643897</v>
      </c>
      <c r="M220"/>
      <c r="N220"/>
      <c r="O220"/>
      <c r="P220"/>
      <c r="Q220"/>
    </row>
    <row r="221" spans="1:17" x14ac:dyDescent="0.3">
      <c r="A221" s="1" t="s">
        <v>142</v>
      </c>
      <c r="B221" s="1" t="s">
        <v>75</v>
      </c>
      <c r="C221">
        <v>2011</v>
      </c>
      <c r="D221" s="7">
        <v>1.3601000000000001</v>
      </c>
      <c r="E221" s="7">
        <v>1.4219999999999999</v>
      </c>
      <c r="F221" s="7">
        <v>2.1414</v>
      </c>
      <c r="G221" s="7">
        <v>0.85119999999999996</v>
      </c>
      <c r="H221" s="7">
        <v>0.91800000000000004</v>
      </c>
      <c r="I221" s="4">
        <v>-0.36609999999999998</v>
      </c>
      <c r="J221" s="2">
        <v>1.3331999999999999</v>
      </c>
      <c r="K221" s="1" t="s">
        <v>620</v>
      </c>
      <c r="L221" s="4">
        <v>0.94860672009411096</v>
      </c>
      <c r="M221"/>
      <c r="N221"/>
      <c r="O221"/>
      <c r="P221"/>
      <c r="Q221"/>
    </row>
    <row r="222" spans="1:17" x14ac:dyDescent="0.3">
      <c r="A222" s="1" t="s">
        <v>141</v>
      </c>
      <c r="B222" s="1" t="s">
        <v>75</v>
      </c>
      <c r="C222">
        <v>2012</v>
      </c>
      <c r="D222" s="7">
        <v>0.79890000000000005</v>
      </c>
      <c r="E222" s="7">
        <v>0.95799999999999996</v>
      </c>
      <c r="F222" s="7">
        <v>0.99370000000000003</v>
      </c>
      <c r="G222" s="7">
        <v>0.66890000000000005</v>
      </c>
      <c r="H222" s="7">
        <v>0.75139999999999996</v>
      </c>
      <c r="I222" s="4">
        <v>-0.18149999999999999</v>
      </c>
      <c r="J222" s="2">
        <v>0.84299999999999997</v>
      </c>
      <c r="K222" s="1" t="s">
        <v>620</v>
      </c>
      <c r="L222" s="4">
        <v>0.40655901865064498</v>
      </c>
      <c r="M222"/>
      <c r="N222"/>
      <c r="O222"/>
      <c r="P222"/>
      <c r="Q222"/>
    </row>
    <row r="223" spans="1:17" x14ac:dyDescent="0.3">
      <c r="A223" s="1" t="s">
        <v>140</v>
      </c>
      <c r="B223" s="1" t="s">
        <v>75</v>
      </c>
      <c r="C223">
        <v>2013</v>
      </c>
      <c r="D223" s="7">
        <v>0.83609999999999995</v>
      </c>
      <c r="E223" s="7">
        <v>0.75360000000000005</v>
      </c>
      <c r="F223" s="7">
        <v>0.93400000000000005</v>
      </c>
      <c r="G223" s="7">
        <v>0.74790000000000001</v>
      </c>
      <c r="H223" s="7">
        <v>0.84640000000000004</v>
      </c>
      <c r="I223" s="4">
        <v>0.12640000000000001</v>
      </c>
      <c r="J223" s="2">
        <v>0.82050000000000001</v>
      </c>
      <c r="K223" s="1" t="s">
        <v>619</v>
      </c>
      <c r="L223" s="4">
        <v>0.22258103097715601</v>
      </c>
      <c r="M223"/>
      <c r="N223"/>
      <c r="O223"/>
      <c r="P223"/>
      <c r="Q223"/>
    </row>
    <row r="224" spans="1:17" x14ac:dyDescent="0.3">
      <c r="A224" s="1" t="s">
        <v>139</v>
      </c>
      <c r="B224" s="1" t="s">
        <v>75</v>
      </c>
      <c r="C224">
        <v>2014</v>
      </c>
      <c r="D224" s="7">
        <v>0.76070000000000004</v>
      </c>
      <c r="E224" s="7">
        <v>0.84040000000000004</v>
      </c>
      <c r="F224" s="7">
        <v>0.94750000000000001</v>
      </c>
      <c r="G224" s="7">
        <v>0.58540000000000003</v>
      </c>
      <c r="H224" s="7">
        <v>0.60270000000000001</v>
      </c>
      <c r="I224" s="4">
        <v>-0.28789999999999999</v>
      </c>
      <c r="J224" s="2">
        <v>0.74399999999999999</v>
      </c>
      <c r="K224" s="1" t="s">
        <v>620</v>
      </c>
      <c r="L224" s="4">
        <v>0.47600893913500703</v>
      </c>
      <c r="M224"/>
      <c r="N224"/>
      <c r="O224"/>
      <c r="P224"/>
      <c r="Q224"/>
    </row>
    <row r="225" spans="1:17" x14ac:dyDescent="0.3">
      <c r="A225" s="1" t="s">
        <v>138</v>
      </c>
      <c r="B225" s="1" t="s">
        <v>75</v>
      </c>
      <c r="C225">
        <v>2015</v>
      </c>
      <c r="D225" s="7">
        <v>0.63380000000000003</v>
      </c>
      <c r="E225" s="7">
        <v>0.5958</v>
      </c>
      <c r="F225" s="7">
        <v>0.68630000000000002</v>
      </c>
      <c r="G225" s="7">
        <v>0.57299999999999995</v>
      </c>
      <c r="H225" s="7">
        <v>0.63280000000000003</v>
      </c>
      <c r="I225" s="4">
        <v>4.99E-2</v>
      </c>
      <c r="J225" s="2">
        <v>0.622</v>
      </c>
      <c r="K225" s="1" t="s">
        <v>619</v>
      </c>
      <c r="L225" s="4">
        <v>0.178763016724519</v>
      </c>
      <c r="M225"/>
      <c r="N225"/>
      <c r="O225"/>
      <c r="P225"/>
      <c r="Q225"/>
    </row>
    <row r="226" spans="1:17" x14ac:dyDescent="0.3">
      <c r="A226" s="1" t="s">
        <v>137</v>
      </c>
      <c r="B226" s="1" t="s">
        <v>75</v>
      </c>
      <c r="C226">
        <v>2016</v>
      </c>
      <c r="D226" s="7">
        <v>0.65620000000000001</v>
      </c>
      <c r="E226" s="7">
        <v>0.62609999999999999</v>
      </c>
      <c r="F226" s="7">
        <v>0.76639999999999997</v>
      </c>
      <c r="G226" s="7">
        <v>0.55930000000000002</v>
      </c>
      <c r="H226" s="7">
        <v>0.70650000000000002</v>
      </c>
      <c r="I226" s="4">
        <v>0.11650000000000001</v>
      </c>
      <c r="J226" s="2">
        <v>0.66459999999999997</v>
      </c>
      <c r="K226" s="1" t="s">
        <v>619</v>
      </c>
      <c r="L226" s="4">
        <v>0.31560499847607398</v>
      </c>
      <c r="M226"/>
      <c r="N226"/>
      <c r="O226"/>
      <c r="P226"/>
      <c r="Q226"/>
    </row>
    <row r="227" spans="1:17" x14ac:dyDescent="0.3">
      <c r="A227" s="1" t="s">
        <v>136</v>
      </c>
      <c r="B227" s="1" t="s">
        <v>75</v>
      </c>
      <c r="C227">
        <v>2017</v>
      </c>
      <c r="D227" s="7">
        <v>0.73270000000000002</v>
      </c>
      <c r="E227" s="7">
        <v>0.71779999999999999</v>
      </c>
      <c r="F227" s="7">
        <v>0.85319999999999996</v>
      </c>
      <c r="G227" s="7">
        <v>0.66539999999999999</v>
      </c>
      <c r="H227" s="7">
        <v>0.7863</v>
      </c>
      <c r="I227" s="4">
        <v>0.113</v>
      </c>
      <c r="J227" s="2">
        <v>0.75570000000000004</v>
      </c>
      <c r="K227" s="1" t="s">
        <v>619</v>
      </c>
      <c r="L227" s="4">
        <v>0.25631226968745702</v>
      </c>
      <c r="M227"/>
      <c r="N227"/>
      <c r="O227"/>
      <c r="P227"/>
      <c r="Q227"/>
    </row>
    <row r="228" spans="1:17" x14ac:dyDescent="0.3">
      <c r="A228" s="1" t="s">
        <v>135</v>
      </c>
      <c r="B228" s="1" t="s">
        <v>75</v>
      </c>
      <c r="C228">
        <v>2018</v>
      </c>
      <c r="D228" s="7">
        <v>0.82120000000000004</v>
      </c>
      <c r="E228" s="7">
        <v>0.77500000000000002</v>
      </c>
      <c r="F228" s="7">
        <v>0.95209999999999995</v>
      </c>
      <c r="G228" s="7">
        <v>0.72060000000000002</v>
      </c>
      <c r="H228" s="7">
        <v>0.72199999999999998</v>
      </c>
      <c r="I228" s="4">
        <v>-8.1799999999999998E-2</v>
      </c>
      <c r="J228" s="2">
        <v>0.79239999999999999</v>
      </c>
      <c r="K228" s="1" t="s">
        <v>620</v>
      </c>
      <c r="L228" s="4">
        <v>0.281904529956162</v>
      </c>
      <c r="M228"/>
      <c r="N228"/>
      <c r="O228"/>
      <c r="P228"/>
      <c r="Q228"/>
    </row>
    <row r="229" spans="1:17" x14ac:dyDescent="0.3">
      <c r="A229" s="1" t="s">
        <v>134</v>
      </c>
      <c r="B229" s="1" t="s">
        <v>75</v>
      </c>
      <c r="C229">
        <v>2019</v>
      </c>
      <c r="D229" s="7">
        <v>0.67369999999999997</v>
      </c>
      <c r="E229" s="7">
        <v>0.70840000000000003</v>
      </c>
      <c r="F229" s="7">
        <v>0.78920000000000001</v>
      </c>
      <c r="G229" s="7">
        <v>0.57540000000000002</v>
      </c>
      <c r="H229" s="7">
        <v>0.6905</v>
      </c>
      <c r="I229" s="4">
        <v>-4.36E-2</v>
      </c>
      <c r="J229" s="2">
        <v>0.69089999999999996</v>
      </c>
      <c r="K229" s="1" t="s">
        <v>620</v>
      </c>
      <c r="L229" s="4">
        <v>0.31735193706397502</v>
      </c>
      <c r="M229"/>
      <c r="N229"/>
      <c r="O229"/>
      <c r="P229"/>
      <c r="Q229"/>
    </row>
    <row r="230" spans="1:17" x14ac:dyDescent="0.3">
      <c r="A230" s="1" t="s">
        <v>133</v>
      </c>
      <c r="B230" s="1" t="s">
        <v>75</v>
      </c>
      <c r="C230">
        <v>2020</v>
      </c>
      <c r="D230" s="7">
        <v>0.64280000000000004</v>
      </c>
      <c r="E230" s="7">
        <v>0.69269999999999998</v>
      </c>
      <c r="F230" s="7">
        <v>0.78120000000000001</v>
      </c>
      <c r="G230" s="7">
        <v>0.48409999999999997</v>
      </c>
      <c r="H230" s="7">
        <v>0.78120000000000001</v>
      </c>
      <c r="I230" s="4">
        <v>0.13139999999999999</v>
      </c>
      <c r="J230" s="2">
        <v>0.68479999999999996</v>
      </c>
      <c r="K230" s="1" t="s">
        <v>619</v>
      </c>
      <c r="L230" s="4">
        <v>0.46219663970130698</v>
      </c>
      <c r="M230"/>
      <c r="N230"/>
      <c r="O230"/>
      <c r="P230"/>
      <c r="Q230"/>
    </row>
    <row r="231" spans="1:17" x14ac:dyDescent="0.3">
      <c r="A231" s="1" t="s">
        <v>132</v>
      </c>
      <c r="B231" s="1" t="s">
        <v>75</v>
      </c>
      <c r="C231">
        <v>2021</v>
      </c>
      <c r="D231" s="7">
        <v>0.93459999999999999</v>
      </c>
      <c r="E231" s="7">
        <v>0.78969999999999996</v>
      </c>
      <c r="F231" s="7">
        <v>1.2038</v>
      </c>
      <c r="G231" s="7">
        <v>0.77880000000000005</v>
      </c>
      <c r="H231" s="7">
        <v>1.1259999999999999</v>
      </c>
      <c r="I231" s="4">
        <v>0.44140000000000001</v>
      </c>
      <c r="J231" s="2">
        <v>0.97460000000000002</v>
      </c>
      <c r="K231" s="1" t="s">
        <v>619</v>
      </c>
      <c r="L231" s="4">
        <v>0.45473999572009399</v>
      </c>
      <c r="M231"/>
      <c r="N231"/>
      <c r="O231"/>
      <c r="P231"/>
      <c r="Q231"/>
    </row>
    <row r="232" spans="1:17" x14ac:dyDescent="0.3">
      <c r="A232" s="1" t="s">
        <v>131</v>
      </c>
      <c r="B232" s="1" t="s">
        <v>75</v>
      </c>
      <c r="C232">
        <v>2022</v>
      </c>
      <c r="D232" s="7">
        <v>1.1284000000000001</v>
      </c>
      <c r="E232" s="7">
        <v>1.1323000000000001</v>
      </c>
      <c r="F232" s="7">
        <v>1.5476000000000001</v>
      </c>
      <c r="G232" s="7">
        <v>0.72</v>
      </c>
      <c r="H232" s="7">
        <v>0.83</v>
      </c>
      <c r="I232" s="4">
        <v>-0.26290000000000002</v>
      </c>
      <c r="J232" s="2">
        <v>1.0575000000000001</v>
      </c>
      <c r="K232" s="1" t="s">
        <v>620</v>
      </c>
      <c r="L232" s="4">
        <v>0.73342786246012104</v>
      </c>
      <c r="M232"/>
      <c r="N232"/>
      <c r="O232"/>
      <c r="P232"/>
      <c r="Q232"/>
    </row>
    <row r="233" spans="1:17" x14ac:dyDescent="0.3">
      <c r="A233" s="1" t="s">
        <v>130</v>
      </c>
      <c r="B233" s="1" t="s">
        <v>75</v>
      </c>
      <c r="C233">
        <v>2023</v>
      </c>
      <c r="D233" s="7">
        <v>0.82979999999999998</v>
      </c>
      <c r="E233" s="7">
        <v>0.83</v>
      </c>
      <c r="F233" s="7">
        <v>0.9</v>
      </c>
      <c r="G233" s="7">
        <v>0.75</v>
      </c>
      <c r="H233" s="7">
        <v>0.81</v>
      </c>
      <c r="I233" s="4">
        <v>-2.41E-2</v>
      </c>
      <c r="J233" s="2">
        <v>0.82250000000000001</v>
      </c>
      <c r="K233" s="1" t="s">
        <v>620</v>
      </c>
      <c r="L233" s="4">
        <v>0.18076644974692699</v>
      </c>
      <c r="M233"/>
      <c r="N233"/>
      <c r="O233"/>
      <c r="P233"/>
      <c r="Q233"/>
    </row>
    <row r="234" spans="1:17" x14ac:dyDescent="0.3">
      <c r="A234" s="1" t="s">
        <v>129</v>
      </c>
      <c r="B234" s="1" t="s">
        <v>75</v>
      </c>
      <c r="C234">
        <v>2024</v>
      </c>
      <c r="D234" s="7">
        <v>0.85629999999999995</v>
      </c>
      <c r="E234" s="7">
        <v>0.81</v>
      </c>
      <c r="F234" s="7">
        <v>1.07</v>
      </c>
      <c r="G234" s="7">
        <v>0.73</v>
      </c>
      <c r="H234" s="7">
        <v>0.74</v>
      </c>
      <c r="I234" s="4">
        <v>-8.6400000000000005E-2</v>
      </c>
      <c r="J234" s="2">
        <v>0.83750000000000002</v>
      </c>
      <c r="K234" s="1" t="s">
        <v>620</v>
      </c>
      <c r="L234" s="4">
        <v>0.397057106154385</v>
      </c>
      <c r="M234"/>
      <c r="N234"/>
      <c r="O234"/>
      <c r="P234"/>
      <c r="Q234"/>
    </row>
    <row r="235" spans="1:17" x14ac:dyDescent="0.3">
      <c r="A235" s="1" t="s">
        <v>128</v>
      </c>
      <c r="B235" s="1" t="s">
        <v>74</v>
      </c>
      <c r="C235">
        <v>1973</v>
      </c>
      <c r="D235" s="7">
        <v>1.4220999999999999</v>
      </c>
      <c r="E235" s="7">
        <v>1.44</v>
      </c>
      <c r="F235" s="7">
        <v>1.7150000000000001</v>
      </c>
      <c r="G235" s="7">
        <v>1.165</v>
      </c>
      <c r="H235" s="7">
        <v>1.278</v>
      </c>
      <c r="I235" s="4">
        <v>-0.1125</v>
      </c>
      <c r="J235" s="2">
        <v>1.3995</v>
      </c>
      <c r="K235" s="1" t="s">
        <v>620</v>
      </c>
      <c r="L235" s="4">
        <v>0.38675198649884002</v>
      </c>
      <c r="M235"/>
      <c r="N235"/>
      <c r="O235"/>
      <c r="P235"/>
      <c r="Q235"/>
    </row>
    <row r="236" spans="1:17" x14ac:dyDescent="0.3">
      <c r="A236" s="1" t="s">
        <v>127</v>
      </c>
      <c r="B236" s="1" t="s">
        <v>74</v>
      </c>
      <c r="C236">
        <v>1974</v>
      </c>
      <c r="D236" s="7">
        <v>1.3218000000000001</v>
      </c>
      <c r="E236" s="7">
        <v>1.2430000000000001</v>
      </c>
      <c r="F236" s="7">
        <v>1.7789999999999999</v>
      </c>
      <c r="G236" s="7">
        <v>0.96499999999999997</v>
      </c>
      <c r="H236" s="7">
        <v>1.2012</v>
      </c>
      <c r="I236" s="4">
        <v>-6.0100000000000001E-2</v>
      </c>
      <c r="J236" s="2">
        <v>1.2969999999999999</v>
      </c>
      <c r="K236" s="1" t="s">
        <v>620</v>
      </c>
      <c r="L236" s="4">
        <v>0.61582690270842799</v>
      </c>
      <c r="M236"/>
      <c r="N236"/>
      <c r="O236"/>
      <c r="P236"/>
      <c r="Q236"/>
    </row>
    <row r="237" spans="1:17" x14ac:dyDescent="0.3">
      <c r="A237" s="1" t="s">
        <v>126</v>
      </c>
      <c r="B237" s="1" t="s">
        <v>74</v>
      </c>
      <c r="C237">
        <v>1975</v>
      </c>
      <c r="D237" s="7">
        <v>1.3616999999999999</v>
      </c>
      <c r="E237" s="7">
        <v>1.23</v>
      </c>
      <c r="F237" s="7">
        <v>1.661</v>
      </c>
      <c r="G237" s="7">
        <v>1.1399999999999999</v>
      </c>
      <c r="H237" s="7">
        <v>1.5553999999999999</v>
      </c>
      <c r="I237" s="4">
        <v>0.2949</v>
      </c>
      <c r="J237" s="2">
        <v>1.3966000000000001</v>
      </c>
      <c r="K237" s="1" t="s">
        <v>619</v>
      </c>
      <c r="L237" s="4">
        <v>0.38260997282808301</v>
      </c>
      <c r="M237"/>
      <c r="N237"/>
      <c r="O237"/>
      <c r="P237"/>
      <c r="Q237"/>
    </row>
    <row r="238" spans="1:17" x14ac:dyDescent="0.3">
      <c r="A238" s="1" t="s">
        <v>125</v>
      </c>
      <c r="B238" s="1" t="s">
        <v>74</v>
      </c>
      <c r="C238">
        <v>1976</v>
      </c>
      <c r="D238" s="7">
        <v>1.6244000000000001</v>
      </c>
      <c r="E238" s="7">
        <v>1.5720000000000001</v>
      </c>
      <c r="F238" s="7">
        <v>1.9288000000000001</v>
      </c>
      <c r="G238" s="7">
        <v>1.4650000000000001</v>
      </c>
      <c r="H238" s="7">
        <v>1.9288000000000001</v>
      </c>
      <c r="I238" s="4">
        <v>0.24010000000000001</v>
      </c>
      <c r="J238" s="2">
        <v>1.7236</v>
      </c>
      <c r="K238" s="1" t="s">
        <v>619</v>
      </c>
      <c r="L238" s="4">
        <v>0.285520807682837</v>
      </c>
      <c r="M238"/>
      <c r="N238"/>
      <c r="O238"/>
      <c r="P238"/>
      <c r="Q238"/>
    </row>
    <row r="239" spans="1:17" x14ac:dyDescent="0.3">
      <c r="A239" s="1" t="s">
        <v>124</v>
      </c>
      <c r="B239" s="1" t="s">
        <v>74</v>
      </c>
      <c r="C239">
        <v>1977</v>
      </c>
      <c r="D239" s="7">
        <v>1.8909</v>
      </c>
      <c r="E239" s="7">
        <v>1.9590000000000001</v>
      </c>
      <c r="F239" s="7">
        <v>2.2799999999999998</v>
      </c>
      <c r="G239" s="7">
        <v>1.73</v>
      </c>
      <c r="H239" s="7">
        <v>2.14</v>
      </c>
      <c r="I239" s="4">
        <v>0.1095</v>
      </c>
      <c r="J239" s="2">
        <v>2.0272000000000001</v>
      </c>
      <c r="K239" s="1" t="s">
        <v>619</v>
      </c>
      <c r="L239" s="4">
        <v>0.29086678301337998</v>
      </c>
      <c r="M239"/>
      <c r="N239"/>
      <c r="O239"/>
      <c r="P239"/>
      <c r="Q239"/>
    </row>
    <row r="240" spans="1:17" x14ac:dyDescent="0.3">
      <c r="A240" s="1" t="s">
        <v>123</v>
      </c>
      <c r="B240" s="1" t="s">
        <v>74</v>
      </c>
      <c r="C240">
        <v>1978</v>
      </c>
      <c r="D240" s="7">
        <v>2.1137000000000001</v>
      </c>
      <c r="E240" s="7">
        <v>2.133</v>
      </c>
      <c r="F240" s="7">
        <v>2.3679999999999999</v>
      </c>
      <c r="G240" s="7">
        <v>1.958</v>
      </c>
      <c r="H240" s="7">
        <v>2.2593999999999999</v>
      </c>
      <c r="I240" s="4">
        <v>5.5800000000000002E-2</v>
      </c>
      <c r="J240" s="2">
        <v>2.1796000000000002</v>
      </c>
      <c r="K240" s="1" t="s">
        <v>619</v>
      </c>
      <c r="L240" s="4">
        <v>0.19397265458674401</v>
      </c>
      <c r="M240"/>
      <c r="N240"/>
      <c r="O240"/>
      <c r="P240"/>
      <c r="Q240"/>
    </row>
    <row r="241" spans="1:17" x14ac:dyDescent="0.3">
      <c r="A241" s="1" t="s">
        <v>122</v>
      </c>
      <c r="B241" s="1" t="s">
        <v>74</v>
      </c>
      <c r="C241">
        <v>1979</v>
      </c>
      <c r="D241" s="7">
        <v>2.3151000000000002</v>
      </c>
      <c r="E241" s="7">
        <v>2.2250000000000001</v>
      </c>
      <c r="F241" s="7">
        <v>2.8490000000000002</v>
      </c>
      <c r="G241" s="7">
        <v>2.0539999999999998</v>
      </c>
      <c r="H241" s="7">
        <v>2.1349999999999998</v>
      </c>
      <c r="I241" s="4">
        <v>-5.5100000000000003E-2</v>
      </c>
      <c r="J241" s="2">
        <v>2.3157999999999999</v>
      </c>
      <c r="K241" s="1" t="s">
        <v>620</v>
      </c>
      <c r="L241" s="4">
        <v>0.34339769340417298</v>
      </c>
      <c r="M241"/>
      <c r="N241"/>
      <c r="O241"/>
      <c r="P241"/>
      <c r="Q241"/>
    </row>
    <row r="242" spans="1:17" x14ac:dyDescent="0.3">
      <c r="A242" s="1" t="s">
        <v>121</v>
      </c>
      <c r="B242" s="1" t="s">
        <v>74</v>
      </c>
      <c r="C242">
        <v>1980</v>
      </c>
      <c r="D242" s="7">
        <v>1.9168000000000001</v>
      </c>
      <c r="E242" s="7">
        <v>2.1419999999999999</v>
      </c>
      <c r="F242" s="7">
        <v>2.3879999999999999</v>
      </c>
      <c r="G242" s="7">
        <v>1.49</v>
      </c>
      <c r="H242" s="7">
        <v>1.7667999999999999</v>
      </c>
      <c r="I242" s="4">
        <v>-0.17249999999999999</v>
      </c>
      <c r="J242" s="2">
        <v>1.9467000000000001</v>
      </c>
      <c r="K242" s="1" t="s">
        <v>620</v>
      </c>
      <c r="L242" s="4">
        <v>0.46848914858096802</v>
      </c>
      <c r="M242"/>
      <c r="N242"/>
      <c r="O242"/>
      <c r="P242"/>
      <c r="Q242"/>
    </row>
    <row r="243" spans="1:17" x14ac:dyDescent="0.3">
      <c r="A243" s="1" t="s">
        <v>120</v>
      </c>
      <c r="B243" s="1" t="s">
        <v>74</v>
      </c>
      <c r="C243">
        <v>1981</v>
      </c>
      <c r="D243" s="7">
        <v>1.6698999999999999</v>
      </c>
      <c r="E243" s="7">
        <v>1.855</v>
      </c>
      <c r="F243" s="7">
        <v>1.9670000000000001</v>
      </c>
      <c r="G243" s="7">
        <v>1.2749999999999999</v>
      </c>
      <c r="H243" s="7">
        <v>1.6013999999999999</v>
      </c>
      <c r="I243" s="4">
        <v>-9.3600000000000003E-2</v>
      </c>
      <c r="J243" s="2">
        <v>1.6746000000000001</v>
      </c>
      <c r="K243" s="1" t="s">
        <v>620</v>
      </c>
      <c r="L243" s="4">
        <v>0.41439607162105502</v>
      </c>
      <c r="M243"/>
      <c r="N243"/>
      <c r="O243"/>
      <c r="P243"/>
      <c r="Q243"/>
    </row>
    <row r="244" spans="1:17" x14ac:dyDescent="0.3">
      <c r="A244" s="1" t="s">
        <v>119</v>
      </c>
      <c r="B244" s="1" t="s">
        <v>74</v>
      </c>
      <c r="C244">
        <v>1982</v>
      </c>
      <c r="D244" s="7">
        <v>1.4406000000000001</v>
      </c>
      <c r="E244" s="7">
        <v>1.5780000000000001</v>
      </c>
      <c r="F244" s="7">
        <v>1.7926</v>
      </c>
      <c r="G244" s="7">
        <v>1.2529999999999999</v>
      </c>
      <c r="H244" s="7">
        <v>1.7926</v>
      </c>
      <c r="I244" s="4">
        <v>0.11940000000000001</v>
      </c>
      <c r="J244" s="2">
        <v>1.6040000000000001</v>
      </c>
      <c r="K244" s="1" t="s">
        <v>619</v>
      </c>
      <c r="L244" s="4">
        <v>0.37456615299180901</v>
      </c>
      <c r="M244"/>
      <c r="N244"/>
      <c r="O244"/>
      <c r="P244"/>
      <c r="Q244"/>
    </row>
    <row r="245" spans="1:17" x14ac:dyDescent="0.3">
      <c r="A245" s="1" t="s">
        <v>118</v>
      </c>
      <c r="B245" s="1" t="s">
        <v>74</v>
      </c>
      <c r="C245">
        <v>1983</v>
      </c>
      <c r="D245" s="7">
        <v>1.9121999999999999</v>
      </c>
      <c r="E245" s="7">
        <v>1.8340000000000001</v>
      </c>
      <c r="F245" s="7">
        <v>2.4820000000000002</v>
      </c>
      <c r="G245" s="7">
        <v>1.6180000000000001</v>
      </c>
      <c r="H245" s="7">
        <v>1.7787999999999999</v>
      </c>
      <c r="I245" s="4">
        <v>-7.7000000000000002E-3</v>
      </c>
      <c r="J245" s="2">
        <v>1.9281999999999999</v>
      </c>
      <c r="K245" s="1" t="s">
        <v>620</v>
      </c>
      <c r="L245" s="4">
        <v>0.45183558205208701</v>
      </c>
      <c r="M245"/>
      <c r="N245"/>
      <c r="O245"/>
      <c r="P245"/>
      <c r="Q245"/>
    </row>
    <row r="246" spans="1:17" x14ac:dyDescent="0.3">
      <c r="A246" s="1" t="s">
        <v>117</v>
      </c>
      <c r="B246" s="1" t="s">
        <v>74</v>
      </c>
      <c r="C246">
        <v>1984</v>
      </c>
      <c r="D246" s="7">
        <v>1.526</v>
      </c>
      <c r="E246" s="7">
        <v>1.782</v>
      </c>
      <c r="F246" s="7">
        <v>2.0190000000000001</v>
      </c>
      <c r="G246" s="7">
        <v>1.165</v>
      </c>
      <c r="H246" s="7">
        <v>1.6332</v>
      </c>
      <c r="I246" s="4">
        <v>-8.1900000000000001E-2</v>
      </c>
      <c r="J246" s="2">
        <v>1.6497999999999999</v>
      </c>
      <c r="K246" s="1" t="s">
        <v>620</v>
      </c>
      <c r="L246" s="4">
        <v>0.55963302752293598</v>
      </c>
      <c r="M246"/>
      <c r="N246"/>
      <c r="O246"/>
      <c r="P246"/>
      <c r="Q246"/>
    </row>
    <row r="247" spans="1:17" x14ac:dyDescent="0.3">
      <c r="A247" s="1" t="s">
        <v>116</v>
      </c>
      <c r="B247" s="1" t="s">
        <v>74</v>
      </c>
      <c r="C247">
        <v>1985</v>
      </c>
      <c r="D247" s="7">
        <v>1.4452</v>
      </c>
      <c r="E247" s="7">
        <v>1.603</v>
      </c>
      <c r="F247" s="7">
        <v>1.6879999999999999</v>
      </c>
      <c r="G247" s="7">
        <v>1.2270000000000001</v>
      </c>
      <c r="H247" s="7">
        <v>1.52</v>
      </c>
      <c r="I247" s="4">
        <v>-6.93E-2</v>
      </c>
      <c r="J247" s="2">
        <v>1.5095000000000001</v>
      </c>
      <c r="K247" s="1" t="s">
        <v>620</v>
      </c>
      <c r="L247" s="4">
        <v>0.31898699141987302</v>
      </c>
      <c r="M247"/>
      <c r="N247"/>
      <c r="O247"/>
      <c r="P247"/>
      <c r="Q247"/>
    </row>
    <row r="248" spans="1:17" x14ac:dyDescent="0.3">
      <c r="A248" s="1" t="s">
        <v>115</v>
      </c>
      <c r="B248" s="1" t="s">
        <v>74</v>
      </c>
      <c r="C248">
        <v>1986</v>
      </c>
      <c r="D248" s="7">
        <v>1.6809000000000001</v>
      </c>
      <c r="E248" s="7">
        <v>1.4950000000000001</v>
      </c>
      <c r="F248" s="7">
        <v>1.9430000000000001</v>
      </c>
      <c r="G248" s="7">
        <v>1.3680000000000001</v>
      </c>
      <c r="H248" s="7">
        <v>1.6173999999999999</v>
      </c>
      <c r="I248" s="4">
        <v>6.4100000000000004E-2</v>
      </c>
      <c r="J248" s="2">
        <v>1.6057999999999999</v>
      </c>
      <c r="K248" s="1" t="s">
        <v>619</v>
      </c>
      <c r="L248" s="4">
        <v>0.34207864834314899</v>
      </c>
      <c r="M248"/>
      <c r="N248"/>
      <c r="O248"/>
      <c r="P248"/>
      <c r="Q248"/>
    </row>
    <row r="249" spans="1:17" x14ac:dyDescent="0.3">
      <c r="A249" s="1" t="s">
        <v>114</v>
      </c>
      <c r="B249" s="1" t="s">
        <v>74</v>
      </c>
      <c r="C249">
        <v>1987</v>
      </c>
      <c r="D249" s="7">
        <v>1.8728</v>
      </c>
      <c r="E249" s="7">
        <v>1.6140000000000001</v>
      </c>
      <c r="F249" s="7">
        <v>2.1469999999999998</v>
      </c>
      <c r="G249" s="7">
        <v>1.6140000000000001</v>
      </c>
      <c r="H249" s="7">
        <v>1.8682000000000001</v>
      </c>
      <c r="I249" s="4">
        <v>0.15509999999999999</v>
      </c>
      <c r="J249" s="2">
        <v>1.8108</v>
      </c>
      <c r="K249" s="1" t="s">
        <v>619</v>
      </c>
      <c r="L249" s="4">
        <v>0.28460059803502802</v>
      </c>
      <c r="M249"/>
      <c r="N249"/>
      <c r="O249"/>
      <c r="P249"/>
      <c r="Q249"/>
    </row>
    <row r="250" spans="1:17" x14ac:dyDescent="0.3">
      <c r="A250" s="1" t="s">
        <v>113</v>
      </c>
      <c r="B250" s="1" t="s">
        <v>74</v>
      </c>
      <c r="C250">
        <v>1988</v>
      </c>
      <c r="D250" s="7">
        <v>1.8513999999999999</v>
      </c>
      <c r="E250" s="7">
        <v>1.9019999999999999</v>
      </c>
      <c r="F250" s="7">
        <v>2.0819999999999999</v>
      </c>
      <c r="G250" s="7">
        <v>1.7050000000000001</v>
      </c>
      <c r="H250" s="7">
        <v>1.8560000000000001</v>
      </c>
      <c r="I250" s="4">
        <v>-6.4999999999999997E-3</v>
      </c>
      <c r="J250" s="2">
        <v>1.8862000000000001</v>
      </c>
      <c r="K250" s="1" t="s">
        <v>620</v>
      </c>
      <c r="L250" s="4">
        <v>0.203629685643297</v>
      </c>
      <c r="M250"/>
      <c r="N250"/>
      <c r="O250"/>
      <c r="P250"/>
      <c r="Q250"/>
    </row>
    <row r="251" spans="1:17" x14ac:dyDescent="0.3">
      <c r="A251" s="1" t="s">
        <v>112</v>
      </c>
      <c r="B251" s="1" t="s">
        <v>74</v>
      </c>
      <c r="C251">
        <v>1989</v>
      </c>
      <c r="D251" s="7">
        <v>1.8448</v>
      </c>
      <c r="E251" s="7">
        <v>1.8520000000000001</v>
      </c>
      <c r="F251" s="7">
        <v>1.9279999999999999</v>
      </c>
      <c r="G251" s="7">
        <v>1.718</v>
      </c>
      <c r="H251" s="7">
        <v>1.9206000000000001</v>
      </c>
      <c r="I251" s="4">
        <v>3.4799999999999998E-2</v>
      </c>
      <c r="J251" s="2">
        <v>1.8546</v>
      </c>
      <c r="K251" s="1" t="s">
        <v>619</v>
      </c>
      <c r="L251" s="4">
        <v>0.113833477883781</v>
      </c>
      <c r="M251"/>
      <c r="N251"/>
      <c r="O251"/>
      <c r="P251"/>
      <c r="Q251"/>
    </row>
    <row r="252" spans="1:17" x14ac:dyDescent="0.3">
      <c r="A252" s="1" t="s">
        <v>111</v>
      </c>
      <c r="B252" s="1" t="s">
        <v>74</v>
      </c>
      <c r="C252">
        <v>1990</v>
      </c>
      <c r="D252" s="7">
        <v>1.9194</v>
      </c>
      <c r="E252" s="7">
        <v>1.909</v>
      </c>
      <c r="F252" s="7">
        <v>2.0939999999999999</v>
      </c>
      <c r="G252" s="7">
        <v>1.5309999999999999</v>
      </c>
      <c r="H252" s="7">
        <v>1.7242</v>
      </c>
      <c r="I252" s="4">
        <v>-0.1023</v>
      </c>
      <c r="J252" s="2">
        <v>1.8146</v>
      </c>
      <c r="K252" s="1" t="s">
        <v>620</v>
      </c>
      <c r="L252" s="4">
        <v>0.29332082942586202</v>
      </c>
      <c r="M252"/>
      <c r="N252"/>
      <c r="O252"/>
      <c r="P252"/>
      <c r="Q252"/>
    </row>
    <row r="253" spans="1:17" x14ac:dyDescent="0.3">
      <c r="A253" s="1" t="s">
        <v>110</v>
      </c>
      <c r="B253" s="1" t="s">
        <v>74</v>
      </c>
      <c r="C253">
        <v>1991</v>
      </c>
      <c r="D253" s="7">
        <v>1.9636</v>
      </c>
      <c r="E253" s="7">
        <v>1.702</v>
      </c>
      <c r="F253" s="7">
        <v>2.456</v>
      </c>
      <c r="G253" s="7">
        <v>1.6080000000000001</v>
      </c>
      <c r="H253" s="7">
        <v>2.1398000000000001</v>
      </c>
      <c r="I253" s="4">
        <v>0.24099999999999999</v>
      </c>
      <c r="J253" s="2">
        <v>1.9763999999999999</v>
      </c>
      <c r="K253" s="1" t="s">
        <v>619</v>
      </c>
      <c r="L253" s="4">
        <v>0.43185984925646798</v>
      </c>
      <c r="M253"/>
      <c r="N253"/>
      <c r="O253"/>
      <c r="P253"/>
      <c r="Q253"/>
    </row>
    <row r="254" spans="1:17" x14ac:dyDescent="0.3">
      <c r="A254" s="1" t="s">
        <v>109</v>
      </c>
      <c r="B254" s="1" t="s">
        <v>74</v>
      </c>
      <c r="C254">
        <v>1992</v>
      </c>
      <c r="D254" s="7">
        <v>2.3266</v>
      </c>
      <c r="E254" s="7">
        <v>2.1760000000000002</v>
      </c>
      <c r="F254" s="7">
        <v>2.734</v>
      </c>
      <c r="G254" s="7">
        <v>2.0830000000000002</v>
      </c>
      <c r="H254" s="7">
        <v>2.7290000000000001</v>
      </c>
      <c r="I254" s="4">
        <v>0.27539999999999998</v>
      </c>
      <c r="J254" s="2">
        <v>2.4304999999999999</v>
      </c>
      <c r="K254" s="1" t="s">
        <v>619</v>
      </c>
      <c r="L254" s="4">
        <v>0.27980744433937899</v>
      </c>
      <c r="M254"/>
      <c r="N254"/>
      <c r="O254"/>
      <c r="P254"/>
      <c r="Q254"/>
    </row>
    <row r="255" spans="1:17" x14ac:dyDescent="0.3">
      <c r="A255" s="1" t="s">
        <v>108</v>
      </c>
      <c r="B255" s="1" t="s">
        <v>74</v>
      </c>
      <c r="C255">
        <v>1993</v>
      </c>
      <c r="D255" s="7">
        <v>3.3693</v>
      </c>
      <c r="E255" s="7">
        <v>2.7509999999999999</v>
      </c>
      <c r="F255" s="7">
        <v>4.6896000000000004</v>
      </c>
      <c r="G255" s="7">
        <v>2.4470000000000001</v>
      </c>
      <c r="H255" s="7">
        <v>4.6692</v>
      </c>
      <c r="I255" s="4">
        <v>0.71099999999999997</v>
      </c>
      <c r="J255" s="2">
        <v>3.6392000000000002</v>
      </c>
      <c r="K255" s="1" t="s">
        <v>619</v>
      </c>
      <c r="L255" s="4">
        <v>0.66559819547086896</v>
      </c>
      <c r="M255"/>
      <c r="N255"/>
      <c r="O255"/>
      <c r="P255"/>
      <c r="Q255"/>
    </row>
    <row r="256" spans="1:17" x14ac:dyDescent="0.3">
      <c r="A256" s="1" t="s">
        <v>107</v>
      </c>
      <c r="B256" s="1" t="s">
        <v>74</v>
      </c>
      <c r="C256">
        <v>1994</v>
      </c>
      <c r="D256" s="7">
        <v>3.6008</v>
      </c>
      <c r="E256" s="7">
        <v>4.5389999999999997</v>
      </c>
      <c r="F256" s="7">
        <v>4.5389999999999997</v>
      </c>
      <c r="G256" s="7">
        <v>2.82</v>
      </c>
      <c r="H256" s="7">
        <v>3.2056</v>
      </c>
      <c r="I256" s="4">
        <v>-0.3135</v>
      </c>
      <c r="J256" s="2">
        <v>3.7759</v>
      </c>
      <c r="K256" s="1" t="s">
        <v>620</v>
      </c>
      <c r="L256" s="4">
        <v>0.47739391246389701</v>
      </c>
      <c r="M256"/>
      <c r="N256"/>
      <c r="O256"/>
      <c r="P256"/>
      <c r="Q256"/>
    </row>
    <row r="257" spans="1:17" x14ac:dyDescent="0.3">
      <c r="A257" s="1" t="s">
        <v>106</v>
      </c>
      <c r="B257" s="1" t="s">
        <v>74</v>
      </c>
      <c r="C257">
        <v>1995</v>
      </c>
      <c r="D257" s="7">
        <v>2.7658999999999998</v>
      </c>
      <c r="E257" s="7">
        <v>3.3220000000000001</v>
      </c>
      <c r="F257" s="7">
        <v>3.3679999999999999</v>
      </c>
      <c r="G257" s="7">
        <v>2.1459999999999999</v>
      </c>
      <c r="H257" s="7">
        <v>2.9117999999999999</v>
      </c>
      <c r="I257" s="4">
        <v>-9.1700000000000004E-2</v>
      </c>
      <c r="J257" s="2">
        <v>2.9369999999999998</v>
      </c>
      <c r="K257" s="1" t="s">
        <v>620</v>
      </c>
      <c r="L257" s="4">
        <v>0.44180917603673298</v>
      </c>
      <c r="M257"/>
      <c r="N257"/>
      <c r="O257"/>
      <c r="P257"/>
      <c r="Q257"/>
    </row>
    <row r="258" spans="1:17" x14ac:dyDescent="0.3">
      <c r="A258" s="1" t="s">
        <v>105</v>
      </c>
      <c r="B258" s="1" t="s">
        <v>74</v>
      </c>
      <c r="C258">
        <v>1996</v>
      </c>
      <c r="D258" s="7">
        <v>3.4782000000000002</v>
      </c>
      <c r="E258" s="7">
        <v>2.91</v>
      </c>
      <c r="F258" s="7">
        <v>4.2539999999999996</v>
      </c>
      <c r="G258" s="7">
        <v>2.6920000000000002</v>
      </c>
      <c r="H258" s="7">
        <v>4.1878000000000002</v>
      </c>
      <c r="I258" s="4">
        <v>0.43819999999999998</v>
      </c>
      <c r="J258" s="2">
        <v>3.5110000000000001</v>
      </c>
      <c r="K258" s="1" t="s">
        <v>619</v>
      </c>
      <c r="L258" s="4">
        <v>0.44908285895003103</v>
      </c>
      <c r="M258"/>
      <c r="N258"/>
      <c r="O258"/>
      <c r="P258"/>
      <c r="Q258"/>
    </row>
    <row r="259" spans="1:17" x14ac:dyDescent="0.3">
      <c r="A259" s="1" t="s">
        <v>104</v>
      </c>
      <c r="B259" s="1" t="s">
        <v>74</v>
      </c>
      <c r="C259">
        <v>1997</v>
      </c>
      <c r="D259" s="7">
        <v>3.5939000000000001</v>
      </c>
      <c r="E259" s="7">
        <v>4.2729999999999997</v>
      </c>
      <c r="F259" s="7">
        <v>4.3570000000000002</v>
      </c>
      <c r="G259" s="7">
        <v>2.9232</v>
      </c>
      <c r="H259" s="7">
        <v>2.9418000000000002</v>
      </c>
      <c r="I259" s="4">
        <v>-0.29749999999999999</v>
      </c>
      <c r="J259" s="2">
        <v>3.6238000000000001</v>
      </c>
      <c r="K259" s="1" t="s">
        <v>620</v>
      </c>
      <c r="L259" s="4">
        <v>0.39895378279863097</v>
      </c>
      <c r="M259"/>
      <c r="N259"/>
      <c r="O259"/>
      <c r="P259"/>
      <c r="Q259"/>
    </row>
    <row r="260" spans="1:17" x14ac:dyDescent="0.3">
      <c r="A260" s="1" t="s">
        <v>103</v>
      </c>
      <c r="B260" s="1" t="s">
        <v>74</v>
      </c>
      <c r="C260">
        <v>1998</v>
      </c>
      <c r="D260" s="7">
        <v>2.9382000000000001</v>
      </c>
      <c r="E260" s="7">
        <v>2.9969999999999999</v>
      </c>
      <c r="F260" s="7">
        <v>3.38</v>
      </c>
      <c r="G260" s="7">
        <v>2.5579999999999998</v>
      </c>
      <c r="H260" s="7">
        <v>3.0848</v>
      </c>
      <c r="I260" s="4">
        <v>4.8599999999999997E-2</v>
      </c>
      <c r="J260" s="2">
        <v>3.0049999999999999</v>
      </c>
      <c r="K260" s="1" t="s">
        <v>619</v>
      </c>
      <c r="L260" s="4">
        <v>0.27976312027772099</v>
      </c>
      <c r="M260"/>
      <c r="N260"/>
      <c r="O260"/>
      <c r="P260"/>
      <c r="Q260"/>
    </row>
    <row r="261" spans="1:17" x14ac:dyDescent="0.3">
      <c r="A261" s="1" t="s">
        <v>102</v>
      </c>
      <c r="B261" s="1" t="s">
        <v>74</v>
      </c>
      <c r="C261">
        <v>1999</v>
      </c>
      <c r="D261" s="7">
        <v>3.4298999999999999</v>
      </c>
      <c r="E261" s="7">
        <v>3.07</v>
      </c>
      <c r="F261" s="7">
        <v>4.1235999999999997</v>
      </c>
      <c r="G261" s="7">
        <v>2.8610000000000002</v>
      </c>
      <c r="H261" s="7">
        <v>3.45</v>
      </c>
      <c r="I261" s="4">
        <v>0.11840000000000001</v>
      </c>
      <c r="J261" s="2">
        <v>3.3761999999999999</v>
      </c>
      <c r="K261" s="1" t="s">
        <v>619</v>
      </c>
      <c r="L261" s="4">
        <v>0.36811568850403797</v>
      </c>
      <c r="M261"/>
      <c r="N261"/>
      <c r="O261"/>
      <c r="P261"/>
      <c r="Q261"/>
    </row>
    <row r="262" spans="1:17" x14ac:dyDescent="0.3">
      <c r="A262" s="1" t="s">
        <v>101</v>
      </c>
      <c r="B262" s="1" t="s">
        <v>74</v>
      </c>
      <c r="C262">
        <v>2000</v>
      </c>
      <c r="D262" s="7">
        <v>2.7582</v>
      </c>
      <c r="E262" s="7">
        <v>3.4550000000000001</v>
      </c>
      <c r="F262" s="7">
        <v>3.5720000000000001</v>
      </c>
      <c r="G262" s="7">
        <v>2.0579999999999998</v>
      </c>
      <c r="H262" s="7">
        <v>2.2029999999999998</v>
      </c>
      <c r="I262" s="4">
        <v>-0.3614</v>
      </c>
      <c r="J262" s="2">
        <v>2.8220000000000001</v>
      </c>
      <c r="K262" s="1" t="s">
        <v>620</v>
      </c>
      <c r="L262" s="4">
        <v>0.54890870857805796</v>
      </c>
      <c r="M262"/>
      <c r="N262"/>
      <c r="O262"/>
      <c r="P262"/>
      <c r="Q262"/>
    </row>
    <row r="263" spans="1:17" x14ac:dyDescent="0.3">
      <c r="A263" s="1" t="s">
        <v>100</v>
      </c>
      <c r="B263" s="1" t="s">
        <v>74</v>
      </c>
      <c r="C263">
        <v>2001</v>
      </c>
      <c r="D263" s="7">
        <v>2.6276999999999999</v>
      </c>
      <c r="E263" s="7">
        <v>2.1619999999999999</v>
      </c>
      <c r="F263" s="7">
        <v>3.72</v>
      </c>
      <c r="G263" s="7">
        <v>1.9450000000000001</v>
      </c>
      <c r="H263" s="7">
        <v>2.5901999999999998</v>
      </c>
      <c r="I263" s="4">
        <v>0.17580000000000001</v>
      </c>
      <c r="J263" s="2">
        <v>2.6042999999999998</v>
      </c>
      <c r="K263" s="1" t="s">
        <v>619</v>
      </c>
      <c r="L263" s="4">
        <v>0.67549568063325405</v>
      </c>
      <c r="M263"/>
      <c r="N263"/>
      <c r="O263"/>
      <c r="P263"/>
      <c r="Q263"/>
    </row>
    <row r="264" spans="1:17" x14ac:dyDescent="0.3">
      <c r="A264" s="1" t="s">
        <v>99</v>
      </c>
      <c r="B264" s="1" t="s">
        <v>74</v>
      </c>
      <c r="C264">
        <v>2002</v>
      </c>
      <c r="D264" s="7">
        <v>2.6128999999999998</v>
      </c>
      <c r="E264" s="7">
        <v>2.6179999999999999</v>
      </c>
      <c r="F264" s="7">
        <v>3.24</v>
      </c>
      <c r="G264" s="7">
        <v>2.153</v>
      </c>
      <c r="H264" s="7">
        <v>2.2442000000000002</v>
      </c>
      <c r="I264" s="4">
        <v>-0.1336</v>
      </c>
      <c r="J264" s="2">
        <v>2.5638000000000001</v>
      </c>
      <c r="K264" s="1" t="s">
        <v>620</v>
      </c>
      <c r="L264" s="4">
        <v>0.41601285927513498</v>
      </c>
      <c r="M264"/>
      <c r="N264"/>
      <c r="O264"/>
      <c r="P264"/>
      <c r="Q264"/>
    </row>
    <row r="265" spans="1:17" x14ac:dyDescent="0.3">
      <c r="A265" s="1" t="s">
        <v>98</v>
      </c>
      <c r="B265" s="1" t="s">
        <v>74</v>
      </c>
      <c r="C265">
        <v>2003</v>
      </c>
      <c r="D265" s="7">
        <v>2.7702</v>
      </c>
      <c r="E265" s="7">
        <v>2.2250000000000001</v>
      </c>
      <c r="F265" s="7">
        <v>3.4089999999999998</v>
      </c>
      <c r="G265" s="7">
        <v>2.2250000000000001</v>
      </c>
      <c r="H265" s="7">
        <v>3.2372000000000001</v>
      </c>
      <c r="I265" s="4">
        <v>0.4425</v>
      </c>
      <c r="J265" s="2">
        <v>2.774</v>
      </c>
      <c r="K265" s="1" t="s">
        <v>619</v>
      </c>
      <c r="L265" s="4">
        <v>0.42740596346834198</v>
      </c>
      <c r="M265"/>
      <c r="N265"/>
      <c r="O265"/>
      <c r="P265"/>
      <c r="Q265"/>
    </row>
    <row r="266" spans="1:17" x14ac:dyDescent="0.3">
      <c r="A266" s="1" t="s">
        <v>97</v>
      </c>
      <c r="B266" s="1" t="s">
        <v>74</v>
      </c>
      <c r="C266">
        <v>2004</v>
      </c>
      <c r="D266" s="7">
        <v>3.6987000000000001</v>
      </c>
      <c r="E266" s="7">
        <v>3.2829999999999999</v>
      </c>
      <c r="F266" s="7">
        <v>4.5199999999999996</v>
      </c>
      <c r="G266" s="7">
        <v>2.915</v>
      </c>
      <c r="H266" s="7">
        <v>3.5880000000000001</v>
      </c>
      <c r="I266" s="4">
        <v>0.1084</v>
      </c>
      <c r="J266" s="2">
        <v>3.5764999999999998</v>
      </c>
      <c r="K266" s="1" t="s">
        <v>619</v>
      </c>
      <c r="L266" s="4">
        <v>0.43393624787087298</v>
      </c>
      <c r="M266"/>
      <c r="N266"/>
      <c r="O266"/>
      <c r="P266"/>
      <c r="Q266"/>
    </row>
    <row r="267" spans="1:17" x14ac:dyDescent="0.3">
      <c r="A267" s="1" t="s">
        <v>96</v>
      </c>
      <c r="B267" s="1" t="s">
        <v>74</v>
      </c>
      <c r="C267">
        <v>2005</v>
      </c>
      <c r="D267" s="7">
        <v>3.407</v>
      </c>
      <c r="E267" s="7">
        <v>3.68</v>
      </c>
      <c r="F267" s="7">
        <v>4.1159999999999997</v>
      </c>
      <c r="G267" s="7">
        <v>2.6949999999999998</v>
      </c>
      <c r="H267" s="7">
        <v>3.6516000000000002</v>
      </c>
      <c r="I267" s="4">
        <v>1.77E-2</v>
      </c>
      <c r="J267" s="2">
        <v>3.5356000000000001</v>
      </c>
      <c r="K267" s="1" t="s">
        <v>619</v>
      </c>
      <c r="L267" s="4">
        <v>0.41708247725271502</v>
      </c>
      <c r="M267"/>
      <c r="N267"/>
      <c r="O267"/>
      <c r="P267"/>
      <c r="Q267"/>
    </row>
    <row r="268" spans="1:17" x14ac:dyDescent="0.3">
      <c r="A268" s="1" t="s">
        <v>95</v>
      </c>
      <c r="B268" s="1" t="s">
        <v>74</v>
      </c>
      <c r="C268">
        <v>2006</v>
      </c>
      <c r="D268" s="7">
        <v>2.9975000000000001</v>
      </c>
      <c r="E268" s="7">
        <v>3.758</v>
      </c>
      <c r="F268" s="7">
        <v>3.875</v>
      </c>
      <c r="G268" s="7">
        <v>2.3450000000000002</v>
      </c>
      <c r="H268" s="7">
        <v>2.7919999999999998</v>
      </c>
      <c r="I268" s="4">
        <v>-0.2354</v>
      </c>
      <c r="J268" s="2">
        <v>3.1924999999999999</v>
      </c>
      <c r="K268" s="1" t="s">
        <v>620</v>
      </c>
      <c r="L268" s="4">
        <v>0.51042535446205195</v>
      </c>
      <c r="M268"/>
      <c r="N268"/>
      <c r="O268"/>
      <c r="P268"/>
      <c r="Q268"/>
    </row>
    <row r="269" spans="1:17" x14ac:dyDescent="0.3">
      <c r="A269" s="1" t="s">
        <v>94</v>
      </c>
      <c r="B269" s="1" t="s">
        <v>74</v>
      </c>
      <c r="C269">
        <v>2007</v>
      </c>
      <c r="D269" s="7">
        <v>2.6031</v>
      </c>
      <c r="E269" s="7">
        <v>2.8519999999999999</v>
      </c>
      <c r="F269" s="7">
        <v>3.0920000000000001</v>
      </c>
      <c r="G269" s="7">
        <v>2.2450000000000001</v>
      </c>
      <c r="H269" s="7">
        <v>2.5177999999999998</v>
      </c>
      <c r="I269" s="4">
        <v>-9.8199999999999996E-2</v>
      </c>
      <c r="J269" s="2">
        <v>2.6766999999999999</v>
      </c>
      <c r="K269" s="1" t="s">
        <v>620</v>
      </c>
      <c r="L269" s="4">
        <v>0.32538127617071999</v>
      </c>
      <c r="M269"/>
      <c r="N269"/>
      <c r="O269"/>
      <c r="P269"/>
      <c r="Q269"/>
    </row>
    <row r="270" spans="1:17" x14ac:dyDescent="0.3">
      <c r="A270" s="1" t="s">
        <v>93</v>
      </c>
      <c r="B270" s="1" t="s">
        <v>74</v>
      </c>
      <c r="C270">
        <v>2008</v>
      </c>
      <c r="D270" s="7">
        <v>2.2507000000000001</v>
      </c>
      <c r="E270" s="7">
        <v>2.5209999999999999</v>
      </c>
      <c r="F270" s="7">
        <v>2.7010000000000001</v>
      </c>
      <c r="G270" s="7">
        <v>1.6679999999999999</v>
      </c>
      <c r="H270" s="7">
        <v>1.8411999999999999</v>
      </c>
      <c r="I270" s="4">
        <v>-0.26869999999999999</v>
      </c>
      <c r="J270" s="2">
        <v>2.1827999999999999</v>
      </c>
      <c r="K270" s="1" t="s">
        <v>620</v>
      </c>
      <c r="L270" s="4">
        <v>0.45896832096681001</v>
      </c>
      <c r="M270"/>
      <c r="N270"/>
      <c r="O270"/>
      <c r="P270"/>
      <c r="Q270"/>
    </row>
    <row r="271" spans="1:17" x14ac:dyDescent="0.3">
      <c r="A271" s="1" t="s">
        <v>92</v>
      </c>
      <c r="B271" s="1" t="s">
        <v>74</v>
      </c>
      <c r="C271">
        <v>2009</v>
      </c>
      <c r="D271" s="7">
        <v>1.8592</v>
      </c>
      <c r="E271" s="7">
        <v>1.87</v>
      </c>
      <c r="F271" s="7">
        <v>2.4620000000000002</v>
      </c>
      <c r="G271" s="7">
        <v>1.381</v>
      </c>
      <c r="H271" s="7">
        <v>2.286</v>
      </c>
      <c r="I271" s="4">
        <v>0.24160000000000001</v>
      </c>
      <c r="J271" s="2">
        <v>1.9998</v>
      </c>
      <c r="K271" s="1" t="s">
        <v>619</v>
      </c>
      <c r="L271" s="4">
        <v>0.58143287435456104</v>
      </c>
      <c r="M271"/>
      <c r="N271"/>
      <c r="O271"/>
      <c r="P271"/>
      <c r="Q271"/>
    </row>
    <row r="272" spans="1:17" x14ac:dyDescent="0.3">
      <c r="A272" s="1" t="s">
        <v>91</v>
      </c>
      <c r="B272" s="1" t="s">
        <v>74</v>
      </c>
      <c r="C272">
        <v>2010</v>
      </c>
      <c r="D272" s="7">
        <v>2.4874999999999998</v>
      </c>
      <c r="E272" s="7">
        <v>2.3050000000000002</v>
      </c>
      <c r="F272" s="7">
        <v>3.2679999999999998</v>
      </c>
      <c r="G272" s="7">
        <v>1.7789999999999999</v>
      </c>
      <c r="H272" s="7">
        <v>3.1640000000000001</v>
      </c>
      <c r="I272" s="4">
        <v>0.3841</v>
      </c>
      <c r="J272" s="2">
        <v>2.629</v>
      </c>
      <c r="K272" s="1" t="s">
        <v>619</v>
      </c>
      <c r="L272" s="4">
        <v>0.59859296482412105</v>
      </c>
      <c r="M272"/>
      <c r="N272"/>
      <c r="O272"/>
      <c r="P272"/>
      <c r="Q272"/>
    </row>
    <row r="273" spans="1:17" x14ac:dyDescent="0.3">
      <c r="A273" s="1" t="s">
        <v>90</v>
      </c>
      <c r="B273" s="1" t="s">
        <v>74</v>
      </c>
      <c r="C273">
        <v>2011</v>
      </c>
      <c r="D273" s="7">
        <v>2.5720999999999998</v>
      </c>
      <c r="E273" s="7">
        <v>3.3</v>
      </c>
      <c r="F273" s="7">
        <v>3.3010000000000002</v>
      </c>
      <c r="G273" s="7">
        <v>2.1110000000000002</v>
      </c>
      <c r="H273" s="7">
        <v>2.5830000000000002</v>
      </c>
      <c r="I273" s="4">
        <v>-0.18360000000000001</v>
      </c>
      <c r="J273" s="2">
        <v>2.8237999999999999</v>
      </c>
      <c r="K273" s="1" t="s">
        <v>620</v>
      </c>
      <c r="L273" s="4">
        <v>0.46265697290152002</v>
      </c>
      <c r="M273"/>
      <c r="N273"/>
      <c r="O273"/>
      <c r="P273"/>
      <c r="Q273"/>
    </row>
    <row r="274" spans="1:17" x14ac:dyDescent="0.3">
      <c r="A274" s="1" t="s">
        <v>71</v>
      </c>
      <c r="B274" s="1" t="s">
        <v>74</v>
      </c>
      <c r="C274">
        <v>2012</v>
      </c>
      <c r="D274" s="7">
        <v>2.8730000000000002</v>
      </c>
      <c r="E274" s="7">
        <v>2.633</v>
      </c>
      <c r="F274" s="7">
        <v>3.9129999999999998</v>
      </c>
      <c r="G274" s="7">
        <v>2.3530000000000002</v>
      </c>
      <c r="H274" s="7">
        <v>3.7486000000000002</v>
      </c>
      <c r="I274" s="4">
        <v>0.45129999999999998</v>
      </c>
      <c r="J274" s="2">
        <v>3.1619000000000002</v>
      </c>
      <c r="K274" s="1" t="s">
        <v>619</v>
      </c>
      <c r="L274" s="4">
        <v>0.54298642533936603</v>
      </c>
      <c r="M274"/>
      <c r="N274"/>
      <c r="O274"/>
      <c r="P274"/>
      <c r="Q274"/>
    </row>
    <row r="275" spans="1:17" x14ac:dyDescent="0.3">
      <c r="A275" s="1" t="s">
        <v>70</v>
      </c>
      <c r="B275" s="1" t="s">
        <v>74</v>
      </c>
      <c r="C275">
        <v>2013</v>
      </c>
      <c r="D275" s="7">
        <v>3.4687999999999999</v>
      </c>
      <c r="E275" s="7">
        <v>3.786</v>
      </c>
      <c r="F275" s="7">
        <v>4.0679999999999996</v>
      </c>
      <c r="G275" s="7">
        <v>2.774</v>
      </c>
      <c r="H275" s="7">
        <v>3.6722000000000001</v>
      </c>
      <c r="I275" s="4">
        <v>-2.0400000000000001E-2</v>
      </c>
      <c r="J275" s="2">
        <v>3.5750000000000002</v>
      </c>
      <c r="K275" s="1" t="s">
        <v>620</v>
      </c>
      <c r="L275" s="4">
        <v>0.37303966789667897</v>
      </c>
      <c r="M275"/>
      <c r="N275"/>
      <c r="O275"/>
      <c r="P275"/>
      <c r="Q275"/>
    </row>
    <row r="276" spans="1:17" x14ac:dyDescent="0.3">
      <c r="A276" s="1" t="s">
        <v>69</v>
      </c>
      <c r="B276" s="1" t="s">
        <v>74</v>
      </c>
      <c r="C276">
        <v>2014</v>
      </c>
      <c r="D276" s="7">
        <v>3.3698999999999999</v>
      </c>
      <c r="E276" s="7">
        <v>3.613</v>
      </c>
      <c r="F276" s="7">
        <v>3.698</v>
      </c>
      <c r="G276" s="7">
        <v>2.97</v>
      </c>
      <c r="H276" s="7">
        <v>3.2877999999999998</v>
      </c>
      <c r="I276" s="4">
        <v>-0.1047</v>
      </c>
      <c r="J276" s="2">
        <v>3.3921999999999999</v>
      </c>
      <c r="K276" s="1" t="s">
        <v>620</v>
      </c>
      <c r="L276" s="4">
        <v>0.21603014926258901</v>
      </c>
      <c r="M276"/>
      <c r="N276"/>
      <c r="O276"/>
      <c r="P276"/>
      <c r="Q276"/>
    </row>
    <row r="277" spans="1:17" x14ac:dyDescent="0.3">
      <c r="A277" s="1" t="s">
        <v>68</v>
      </c>
      <c r="B277" s="1" t="s">
        <v>74</v>
      </c>
      <c r="C277">
        <v>2015</v>
      </c>
      <c r="D277" s="7">
        <v>2.6775000000000002</v>
      </c>
      <c r="E277" s="7">
        <v>3.2759999999999998</v>
      </c>
      <c r="F277" s="7">
        <v>3.2759999999999998</v>
      </c>
      <c r="G277" s="7">
        <v>2.1619999999999999</v>
      </c>
      <c r="H277" s="7">
        <v>2.5640000000000001</v>
      </c>
      <c r="I277" s="4">
        <v>-0.22009999999999999</v>
      </c>
      <c r="J277" s="2">
        <v>2.8195000000000001</v>
      </c>
      <c r="K277" s="1" t="s">
        <v>620</v>
      </c>
      <c r="L277" s="4">
        <v>0.41605975723622801</v>
      </c>
      <c r="M277"/>
      <c r="N277"/>
      <c r="O277"/>
      <c r="P277"/>
      <c r="Q277"/>
    </row>
    <row r="278" spans="1:17" x14ac:dyDescent="0.3">
      <c r="A278" s="1" t="s">
        <v>67</v>
      </c>
      <c r="B278" s="1" t="s">
        <v>74</v>
      </c>
      <c r="C278">
        <v>2016</v>
      </c>
      <c r="D278" s="7">
        <v>3.0143</v>
      </c>
      <c r="E278" s="7">
        <v>2.5299999999999998</v>
      </c>
      <c r="F278" s="7">
        <v>3.431</v>
      </c>
      <c r="G278" s="7">
        <v>2.3330000000000002</v>
      </c>
      <c r="H278" s="7">
        <v>3.2684000000000002</v>
      </c>
      <c r="I278" s="4">
        <v>0.2747</v>
      </c>
      <c r="J278" s="2">
        <v>2.8906000000000001</v>
      </c>
      <c r="K278" s="1" t="s">
        <v>619</v>
      </c>
      <c r="L278" s="4">
        <v>0.36426367647546698</v>
      </c>
      <c r="M278"/>
      <c r="N278"/>
      <c r="O278"/>
      <c r="P278"/>
      <c r="Q278"/>
    </row>
    <row r="279" spans="1:17" x14ac:dyDescent="0.3">
      <c r="A279" s="1" t="s">
        <v>66</v>
      </c>
      <c r="B279" s="1" t="s">
        <v>74</v>
      </c>
      <c r="C279">
        <v>2017</v>
      </c>
      <c r="D279" s="7">
        <v>3.8431999999999999</v>
      </c>
      <c r="E279" s="7">
        <v>3.2909999999999999</v>
      </c>
      <c r="F279" s="7">
        <v>4.5960000000000001</v>
      </c>
      <c r="G279" s="7">
        <v>3.2080000000000002</v>
      </c>
      <c r="H279" s="7">
        <v>4.4311999999999996</v>
      </c>
      <c r="I279" s="4">
        <v>0.35580000000000001</v>
      </c>
      <c r="J279" s="2">
        <v>3.8816000000000002</v>
      </c>
      <c r="K279" s="1" t="s">
        <v>619</v>
      </c>
      <c r="L279" s="4">
        <v>0.36115736885928401</v>
      </c>
      <c r="M279"/>
      <c r="N279"/>
      <c r="O279"/>
      <c r="P279"/>
      <c r="Q279"/>
    </row>
    <row r="280" spans="1:17" x14ac:dyDescent="0.3">
      <c r="A280" s="1" t="s">
        <v>65</v>
      </c>
      <c r="B280" s="1" t="s">
        <v>74</v>
      </c>
      <c r="C280">
        <v>2018</v>
      </c>
      <c r="D280" s="7">
        <v>4.5656999999999996</v>
      </c>
      <c r="E280" s="7">
        <v>4.4950000000000001</v>
      </c>
      <c r="F280" s="7">
        <v>6.39</v>
      </c>
      <c r="G280" s="7">
        <v>3.0375999999999999</v>
      </c>
      <c r="H280" s="7">
        <v>3.3610000000000002</v>
      </c>
      <c r="I280" s="4">
        <v>-0.24149999999999999</v>
      </c>
      <c r="J280" s="2">
        <v>4.3209</v>
      </c>
      <c r="K280" s="1" t="s">
        <v>620</v>
      </c>
      <c r="L280" s="4">
        <v>0.73425761657577204</v>
      </c>
      <c r="M280"/>
      <c r="N280"/>
      <c r="O280"/>
      <c r="P280"/>
      <c r="Q280"/>
    </row>
    <row r="281" spans="1:17" x14ac:dyDescent="0.3">
      <c r="A281" s="1" t="s">
        <v>64</v>
      </c>
      <c r="B281" s="1" t="s">
        <v>74</v>
      </c>
      <c r="C281">
        <v>2019</v>
      </c>
      <c r="D281" s="7">
        <v>3.7187999999999999</v>
      </c>
      <c r="E281" s="7">
        <v>3.3319999999999999</v>
      </c>
      <c r="F281" s="7">
        <v>4.3949999999999996</v>
      </c>
      <c r="G281" s="7">
        <v>3.0179999999999998</v>
      </c>
      <c r="H281" s="7">
        <v>4.2202000000000002</v>
      </c>
      <c r="I281" s="4">
        <v>0.25559999999999999</v>
      </c>
      <c r="J281" s="2">
        <v>3.7412999999999998</v>
      </c>
      <c r="K281" s="1" t="s">
        <v>619</v>
      </c>
      <c r="L281" s="4">
        <v>0.37028073572120002</v>
      </c>
      <c r="M281"/>
      <c r="N281"/>
      <c r="O281"/>
      <c r="P281"/>
      <c r="Q281"/>
    </row>
    <row r="282" spans="1:17" x14ac:dyDescent="0.3">
      <c r="A282" s="1" t="s">
        <v>63</v>
      </c>
      <c r="B282" s="1" t="s">
        <v>74</v>
      </c>
      <c r="C282">
        <v>2020</v>
      </c>
      <c r="D282" s="7">
        <v>5.0471000000000004</v>
      </c>
      <c r="E282" s="7">
        <v>4.3179999999999996</v>
      </c>
      <c r="F282" s="7">
        <v>8.8460000000000001</v>
      </c>
      <c r="G282" s="7">
        <v>2.5979999999999999</v>
      </c>
      <c r="H282" s="7">
        <v>7.4813999999999998</v>
      </c>
      <c r="I282" s="4">
        <v>0.77280000000000004</v>
      </c>
      <c r="J282" s="2">
        <v>5.8108000000000004</v>
      </c>
      <c r="K282" s="1" t="s">
        <v>619</v>
      </c>
      <c r="L282" s="4">
        <v>1.2379386182164001</v>
      </c>
      <c r="M282"/>
      <c r="N282"/>
      <c r="O282"/>
      <c r="P282"/>
      <c r="Q282"/>
    </row>
    <row r="283" spans="1:17" x14ac:dyDescent="0.3">
      <c r="A283" s="1" t="s">
        <v>62</v>
      </c>
      <c r="B283" s="1" t="s">
        <v>74</v>
      </c>
      <c r="C283">
        <v>2021</v>
      </c>
      <c r="D283" s="7">
        <v>8.7288999999999994</v>
      </c>
      <c r="E283" s="7">
        <v>7.0060000000000002</v>
      </c>
      <c r="F283" s="7">
        <v>16.704999999999998</v>
      </c>
      <c r="G283" s="7">
        <v>4.5419999999999998</v>
      </c>
      <c r="H283" s="7">
        <v>11.439</v>
      </c>
      <c r="I283" s="4">
        <v>0.52900000000000003</v>
      </c>
      <c r="J283" s="2">
        <v>9.923</v>
      </c>
      <c r="K283" s="1" t="s">
        <v>619</v>
      </c>
      <c r="L283" s="4">
        <v>1.3934172690716999</v>
      </c>
      <c r="M283"/>
      <c r="N283"/>
      <c r="O283"/>
      <c r="P283"/>
      <c r="Q283"/>
    </row>
    <row r="284" spans="1:17" x14ac:dyDescent="0.3">
      <c r="A284" s="1" t="s">
        <v>61</v>
      </c>
      <c r="B284" s="1" t="s">
        <v>74</v>
      </c>
      <c r="C284">
        <v>2022</v>
      </c>
      <c r="D284" s="7">
        <v>7.2468000000000004</v>
      </c>
      <c r="E284" s="7">
        <v>11.143000000000001</v>
      </c>
      <c r="F284" s="7">
        <v>13.29</v>
      </c>
      <c r="G284" s="7">
        <v>3.7250000000000001</v>
      </c>
      <c r="H284" s="7">
        <v>3.8380000000000001</v>
      </c>
      <c r="I284" s="4">
        <v>-0.66449999999999998</v>
      </c>
      <c r="J284" s="2">
        <v>7.9989999999999997</v>
      </c>
      <c r="K284" s="1" t="s">
        <v>620</v>
      </c>
      <c r="L284" s="4">
        <v>1.3198929182535699</v>
      </c>
      <c r="M284"/>
      <c r="N284"/>
      <c r="O284"/>
      <c r="P284"/>
      <c r="Q284"/>
    </row>
    <row r="285" spans="1:17" x14ac:dyDescent="0.3">
      <c r="A285" s="1" t="s">
        <v>60</v>
      </c>
      <c r="B285" s="1" t="s">
        <v>74</v>
      </c>
      <c r="C285">
        <v>2023</v>
      </c>
      <c r="D285" s="7">
        <v>4.5484</v>
      </c>
      <c r="E285" s="7">
        <v>3.7069999999999999</v>
      </c>
      <c r="F285" s="7">
        <v>5.81</v>
      </c>
      <c r="G285" s="7">
        <v>3.3650000000000002</v>
      </c>
      <c r="H285" s="7">
        <v>5.44</v>
      </c>
      <c r="I285" s="4">
        <v>0.41739999999999999</v>
      </c>
      <c r="J285" s="2">
        <v>4.5804999999999998</v>
      </c>
      <c r="K285" s="1" t="s">
        <v>619</v>
      </c>
      <c r="L285" s="4">
        <v>0.53755166652009501</v>
      </c>
      <c r="M285"/>
      <c r="N285"/>
      <c r="O285"/>
      <c r="P285"/>
      <c r="Q285"/>
    </row>
    <row r="286" spans="1:17" x14ac:dyDescent="0.3">
      <c r="A286" s="1" t="s">
        <v>59</v>
      </c>
      <c r="B286" s="1" t="s">
        <v>74</v>
      </c>
      <c r="C286">
        <v>2024</v>
      </c>
      <c r="D286" s="7">
        <v>5.4664999999999999</v>
      </c>
      <c r="E286" s="7">
        <v>5.44</v>
      </c>
      <c r="F286" s="7">
        <v>6.1</v>
      </c>
      <c r="G286" s="7">
        <v>4.8099999999999996</v>
      </c>
      <c r="H286" s="7">
        <v>5.1150000000000002</v>
      </c>
      <c r="I286" s="4">
        <v>-5.9700000000000003E-2</v>
      </c>
      <c r="J286" s="2">
        <v>5.3662000000000001</v>
      </c>
      <c r="K286" s="1" t="s">
        <v>620</v>
      </c>
      <c r="L286" s="4">
        <v>0.23598280435379099</v>
      </c>
      <c r="M286"/>
      <c r="N286"/>
      <c r="O286"/>
      <c r="P286"/>
      <c r="Q286"/>
    </row>
    <row r="287" spans="1:17" x14ac:dyDescent="0.3">
      <c r="A287" s="1" t="s">
        <v>234</v>
      </c>
      <c r="B287" s="1" t="s">
        <v>76</v>
      </c>
      <c r="C287">
        <v>1971</v>
      </c>
      <c r="D287" s="7">
        <v>0.71950000000000003</v>
      </c>
      <c r="E287" s="7">
        <v>0.78400000000000003</v>
      </c>
      <c r="F287" s="7">
        <v>0.79600000000000004</v>
      </c>
      <c r="G287" s="7">
        <v>0.63100000000000001</v>
      </c>
      <c r="H287" s="7">
        <v>0.74399999999999999</v>
      </c>
      <c r="I287" s="4">
        <v>-3.6299999999999999E-2</v>
      </c>
      <c r="J287" s="2">
        <v>0.73880000000000001</v>
      </c>
      <c r="K287" s="1" t="s">
        <v>620</v>
      </c>
      <c r="L287" s="4">
        <v>0.22932592077831801</v>
      </c>
      <c r="M287"/>
      <c r="N287"/>
      <c r="O287"/>
      <c r="P287"/>
      <c r="Q287"/>
    </row>
    <row r="288" spans="1:17" x14ac:dyDescent="0.3">
      <c r="A288" s="1" t="s">
        <v>233</v>
      </c>
      <c r="B288" s="1" t="s">
        <v>76</v>
      </c>
      <c r="C288">
        <v>1972</v>
      </c>
      <c r="D288" s="7">
        <v>0.7823</v>
      </c>
      <c r="E288" s="7">
        <v>0.74199999999999999</v>
      </c>
      <c r="F288" s="7">
        <v>1.0629999999999999</v>
      </c>
      <c r="G288" s="7">
        <v>0.66400000000000003</v>
      </c>
      <c r="H288" s="7">
        <v>0.98599999999999999</v>
      </c>
      <c r="I288" s="4">
        <v>0.32529999999999998</v>
      </c>
      <c r="J288" s="2">
        <v>0.86380000000000001</v>
      </c>
      <c r="K288" s="1" t="s">
        <v>619</v>
      </c>
      <c r="L288" s="4">
        <v>0.510034513613703</v>
      </c>
      <c r="M288"/>
      <c r="N288"/>
      <c r="O288"/>
      <c r="P288"/>
      <c r="Q288"/>
    </row>
    <row r="289" spans="1:17" x14ac:dyDescent="0.3">
      <c r="A289" s="1" t="s">
        <v>232</v>
      </c>
      <c r="B289" s="1" t="s">
        <v>76</v>
      </c>
      <c r="C289">
        <v>1973</v>
      </c>
      <c r="D289" s="7">
        <v>1.0819000000000001</v>
      </c>
      <c r="E289" s="7">
        <v>0.96099999999999997</v>
      </c>
      <c r="F289" s="7">
        <v>1.524</v>
      </c>
      <c r="G289" s="7">
        <v>0.80400000000000005</v>
      </c>
      <c r="H289" s="7">
        <v>1.3839999999999999</v>
      </c>
      <c r="I289" s="4">
        <v>0.4037</v>
      </c>
      <c r="J289" s="2">
        <v>1.1681999999999999</v>
      </c>
      <c r="K289" s="1" t="s">
        <v>619</v>
      </c>
      <c r="L289" s="4">
        <v>0.66549588686569905</v>
      </c>
      <c r="M289"/>
      <c r="N289"/>
      <c r="O289"/>
      <c r="P289"/>
      <c r="Q289"/>
    </row>
    <row r="290" spans="1:17" x14ac:dyDescent="0.3">
      <c r="A290" s="1" t="s">
        <v>231</v>
      </c>
      <c r="B290" s="1" t="s">
        <v>76</v>
      </c>
      <c r="C290">
        <v>1974</v>
      </c>
      <c r="D290" s="7">
        <v>1.5901000000000001</v>
      </c>
      <c r="E290" s="7">
        <v>1.444</v>
      </c>
      <c r="F290" s="7">
        <v>1.9924999999999999</v>
      </c>
      <c r="G290" s="7">
        <v>1.1259999999999999</v>
      </c>
      <c r="H290" s="7">
        <v>1.66</v>
      </c>
      <c r="I290" s="4">
        <v>0.19939999999999999</v>
      </c>
      <c r="J290" s="2">
        <v>1.5556000000000001</v>
      </c>
      <c r="K290" s="1" t="s">
        <v>619</v>
      </c>
      <c r="L290" s="4">
        <v>0.54493428086283902</v>
      </c>
      <c r="M290"/>
      <c r="N290"/>
      <c r="O290"/>
      <c r="P290"/>
      <c r="Q290"/>
    </row>
    <row r="291" spans="1:17" x14ac:dyDescent="0.3">
      <c r="A291" s="1" t="s">
        <v>230</v>
      </c>
      <c r="B291" s="1" t="s">
        <v>76</v>
      </c>
      <c r="C291">
        <v>1975</v>
      </c>
      <c r="D291" s="7">
        <v>1.548</v>
      </c>
      <c r="E291" s="7">
        <v>1.665</v>
      </c>
      <c r="F291" s="7">
        <v>1.7825</v>
      </c>
      <c r="G291" s="7">
        <v>1.36</v>
      </c>
      <c r="H291" s="7">
        <v>1.4624999999999999</v>
      </c>
      <c r="I291" s="4">
        <v>-0.11899999999999999</v>
      </c>
      <c r="J291" s="2">
        <v>1.5674999999999999</v>
      </c>
      <c r="K291" s="1" t="s">
        <v>620</v>
      </c>
      <c r="L291" s="4">
        <v>0.27293281653746798</v>
      </c>
      <c r="M291"/>
      <c r="N291"/>
      <c r="O291"/>
      <c r="P291"/>
      <c r="Q291"/>
    </row>
    <row r="292" spans="1:17" x14ac:dyDescent="0.3">
      <c r="A292" s="1" t="s">
        <v>229</v>
      </c>
      <c r="B292" s="1" t="s">
        <v>76</v>
      </c>
      <c r="C292">
        <v>1976</v>
      </c>
      <c r="D292" s="7">
        <v>1.6398999999999999</v>
      </c>
      <c r="E292" s="7">
        <v>1.4675</v>
      </c>
      <c r="F292" s="7">
        <v>2.0150000000000001</v>
      </c>
      <c r="G292" s="7">
        <v>1.4675</v>
      </c>
      <c r="H292" s="7">
        <v>1.6850000000000001</v>
      </c>
      <c r="I292" s="4">
        <v>0.15210000000000001</v>
      </c>
      <c r="J292" s="2">
        <v>1.6588000000000001</v>
      </c>
      <c r="K292" s="1" t="s">
        <v>619</v>
      </c>
      <c r="L292" s="4">
        <v>0.33386182084273403</v>
      </c>
      <c r="M292"/>
      <c r="N292"/>
      <c r="O292"/>
      <c r="P292"/>
      <c r="Q292"/>
    </row>
    <row r="293" spans="1:17" x14ac:dyDescent="0.3">
      <c r="A293" s="1" t="s">
        <v>228</v>
      </c>
      <c r="B293" s="1" t="s">
        <v>76</v>
      </c>
      <c r="C293">
        <v>1977</v>
      </c>
      <c r="D293" s="7">
        <v>1.4484999999999999</v>
      </c>
      <c r="E293" s="7">
        <v>1.68</v>
      </c>
      <c r="F293" s="7">
        <v>1.8474999999999999</v>
      </c>
      <c r="G293" s="7">
        <v>1.0049999999999999</v>
      </c>
      <c r="H293" s="7">
        <v>1.345</v>
      </c>
      <c r="I293" s="4">
        <v>-0.20180000000000001</v>
      </c>
      <c r="J293" s="2">
        <v>1.4694</v>
      </c>
      <c r="K293" s="1" t="s">
        <v>620</v>
      </c>
      <c r="L293" s="4">
        <v>0.58163617535381396</v>
      </c>
      <c r="M293"/>
      <c r="N293"/>
      <c r="O293"/>
      <c r="P293"/>
      <c r="Q293"/>
    </row>
    <row r="294" spans="1:17" x14ac:dyDescent="0.3">
      <c r="A294" s="1" t="s">
        <v>227</v>
      </c>
      <c r="B294" s="1" t="s">
        <v>76</v>
      </c>
      <c r="C294">
        <v>1978</v>
      </c>
      <c r="D294" s="7">
        <v>1.3714999999999999</v>
      </c>
      <c r="E294" s="7">
        <v>1.2975000000000001</v>
      </c>
      <c r="F294" s="7">
        <v>1.5475000000000001</v>
      </c>
      <c r="G294" s="7">
        <v>1.2</v>
      </c>
      <c r="H294" s="7">
        <v>1.33</v>
      </c>
      <c r="I294" s="4">
        <v>-1.12E-2</v>
      </c>
      <c r="J294" s="2">
        <v>1.3438000000000001</v>
      </c>
      <c r="K294" s="1" t="s">
        <v>620</v>
      </c>
      <c r="L294" s="4">
        <v>0.25337222019686501</v>
      </c>
      <c r="M294"/>
      <c r="N294"/>
      <c r="O294"/>
      <c r="P294"/>
      <c r="Q294"/>
    </row>
    <row r="295" spans="1:17" x14ac:dyDescent="0.3">
      <c r="A295" s="1" t="s">
        <v>226</v>
      </c>
      <c r="B295" s="1" t="s">
        <v>76</v>
      </c>
      <c r="C295">
        <v>1979</v>
      </c>
      <c r="D295" s="7">
        <v>1.4899</v>
      </c>
      <c r="E295" s="7">
        <v>1.3125</v>
      </c>
      <c r="F295" s="7">
        <v>1.7849999999999999</v>
      </c>
      <c r="G295" s="7">
        <v>1.3025</v>
      </c>
      <c r="H295" s="7">
        <v>1.5974999999999999</v>
      </c>
      <c r="I295" s="4">
        <v>0.2011</v>
      </c>
      <c r="J295" s="2">
        <v>1.4994000000000001</v>
      </c>
      <c r="K295" s="1" t="s">
        <v>619</v>
      </c>
      <c r="L295" s="4">
        <v>0.32384723806966897</v>
      </c>
      <c r="M295"/>
      <c r="N295"/>
      <c r="O295"/>
      <c r="P295"/>
      <c r="Q295"/>
    </row>
    <row r="296" spans="1:17" x14ac:dyDescent="0.3">
      <c r="A296" s="1" t="s">
        <v>225</v>
      </c>
      <c r="B296" s="1" t="s">
        <v>76</v>
      </c>
      <c r="C296">
        <v>1980</v>
      </c>
      <c r="D296" s="7">
        <v>1.7758</v>
      </c>
      <c r="E296" s="7">
        <v>1.55</v>
      </c>
      <c r="F296" s="7">
        <v>2.39</v>
      </c>
      <c r="G296" s="7">
        <v>1.3149999999999999</v>
      </c>
      <c r="H296" s="7">
        <v>2.2275</v>
      </c>
      <c r="I296" s="4">
        <v>0.39439999999999997</v>
      </c>
      <c r="J296" s="2">
        <v>1.8706</v>
      </c>
      <c r="K296" s="1" t="s">
        <v>619</v>
      </c>
      <c r="L296" s="4">
        <v>0.60536096407253104</v>
      </c>
      <c r="M296"/>
      <c r="N296"/>
      <c r="O296"/>
      <c r="P296"/>
      <c r="Q296"/>
    </row>
    <row r="297" spans="1:17" x14ac:dyDescent="0.3">
      <c r="A297" s="1" t="s">
        <v>224</v>
      </c>
      <c r="B297" s="1" t="s">
        <v>76</v>
      </c>
      <c r="C297">
        <v>1981</v>
      </c>
      <c r="D297" s="7">
        <v>2.0998000000000001</v>
      </c>
      <c r="E297" s="7">
        <v>2.2475000000000001</v>
      </c>
      <c r="F297" s="7">
        <v>2.3650000000000002</v>
      </c>
      <c r="G297" s="7">
        <v>1.865</v>
      </c>
      <c r="H297" s="7">
        <v>2.0699999999999998</v>
      </c>
      <c r="I297" s="4">
        <v>-7.0699999999999999E-2</v>
      </c>
      <c r="J297" s="2">
        <v>2.1368999999999998</v>
      </c>
      <c r="K297" s="1" t="s">
        <v>620</v>
      </c>
      <c r="L297" s="4">
        <v>0.238117915991999</v>
      </c>
      <c r="M297"/>
      <c r="N297"/>
      <c r="O297"/>
      <c r="P297"/>
      <c r="Q297"/>
    </row>
    <row r="298" spans="1:17" x14ac:dyDescent="0.3">
      <c r="A298" s="1" t="s">
        <v>223</v>
      </c>
      <c r="B298" s="1" t="s">
        <v>76</v>
      </c>
      <c r="C298">
        <v>1982</v>
      </c>
      <c r="D298" s="7">
        <v>1.7986</v>
      </c>
      <c r="E298" s="7">
        <v>2.0350000000000001</v>
      </c>
      <c r="F298" s="7">
        <v>2.2149999999999999</v>
      </c>
      <c r="G298" s="7">
        <v>1.4125000000000001</v>
      </c>
      <c r="H298" s="7">
        <v>1.6675</v>
      </c>
      <c r="I298" s="4">
        <v>-0.19439999999999999</v>
      </c>
      <c r="J298" s="2">
        <v>1.8325</v>
      </c>
      <c r="K298" s="1" t="s">
        <v>620</v>
      </c>
      <c r="L298" s="4">
        <v>0.44618036250416998</v>
      </c>
      <c r="M298"/>
      <c r="N298"/>
      <c r="O298"/>
      <c r="P298"/>
      <c r="Q298"/>
    </row>
    <row r="299" spans="1:17" x14ac:dyDescent="0.3">
      <c r="A299" s="1" t="s">
        <v>222</v>
      </c>
      <c r="B299" s="1" t="s">
        <v>76</v>
      </c>
      <c r="C299">
        <v>1983</v>
      </c>
      <c r="D299" s="7">
        <v>1.7050000000000001</v>
      </c>
      <c r="E299" s="7">
        <v>1.665</v>
      </c>
      <c r="F299" s="7">
        <v>2.0150000000000001</v>
      </c>
      <c r="G299" s="7">
        <v>1.4724999999999999</v>
      </c>
      <c r="H299" s="7">
        <v>1.86</v>
      </c>
      <c r="I299" s="4">
        <v>0.1154</v>
      </c>
      <c r="J299" s="2">
        <v>1.7531000000000001</v>
      </c>
      <c r="K299" s="1" t="s">
        <v>619</v>
      </c>
      <c r="L299" s="4">
        <v>0.31818181818181801</v>
      </c>
      <c r="M299"/>
      <c r="N299"/>
      <c r="O299"/>
      <c r="P299"/>
      <c r="Q299"/>
    </row>
    <row r="300" spans="1:17" x14ac:dyDescent="0.3">
      <c r="A300" s="1" t="s">
        <v>221</v>
      </c>
      <c r="B300" s="1" t="s">
        <v>76</v>
      </c>
      <c r="C300">
        <v>1984</v>
      </c>
      <c r="D300" s="7">
        <v>1.7916000000000001</v>
      </c>
      <c r="E300" s="7">
        <v>1.79</v>
      </c>
      <c r="F300" s="7">
        <v>1.915</v>
      </c>
      <c r="G300" s="7">
        <v>1.635</v>
      </c>
      <c r="H300" s="7">
        <v>1.8025</v>
      </c>
      <c r="I300" s="4">
        <v>-3.09E-2</v>
      </c>
      <c r="J300" s="2">
        <v>1.7856000000000001</v>
      </c>
      <c r="K300" s="1" t="s">
        <v>620</v>
      </c>
      <c r="L300" s="4">
        <v>0.156284885018977</v>
      </c>
      <c r="M300"/>
      <c r="N300"/>
      <c r="O300"/>
      <c r="P300"/>
      <c r="Q300"/>
    </row>
    <row r="301" spans="1:17" x14ac:dyDescent="0.3">
      <c r="A301" s="1" t="s">
        <v>220</v>
      </c>
      <c r="B301" s="1" t="s">
        <v>76</v>
      </c>
      <c r="C301">
        <v>1985</v>
      </c>
      <c r="D301" s="7">
        <v>1.4657</v>
      </c>
      <c r="E301" s="7">
        <v>1.8049999999999999</v>
      </c>
      <c r="F301" s="7">
        <v>1.81</v>
      </c>
      <c r="G301" s="7">
        <v>1.155</v>
      </c>
      <c r="H301" s="7">
        <v>1.395</v>
      </c>
      <c r="I301" s="4">
        <v>-0.2261</v>
      </c>
      <c r="J301" s="2">
        <v>1.5411999999999999</v>
      </c>
      <c r="K301" s="1" t="s">
        <v>620</v>
      </c>
      <c r="L301" s="4">
        <v>0.44688544722658102</v>
      </c>
      <c r="M301"/>
      <c r="N301"/>
      <c r="O301"/>
      <c r="P301"/>
      <c r="Q301"/>
    </row>
    <row r="302" spans="1:17" x14ac:dyDescent="0.3">
      <c r="A302" s="1" t="s">
        <v>219</v>
      </c>
      <c r="B302" s="1" t="s">
        <v>76</v>
      </c>
      <c r="C302">
        <v>1986</v>
      </c>
      <c r="D302" s="7">
        <v>1.2179</v>
      </c>
      <c r="E302" s="7">
        <v>1.3925000000000001</v>
      </c>
      <c r="F302" s="7">
        <v>1.6325000000000001</v>
      </c>
      <c r="G302" s="7">
        <v>0.94499999999999995</v>
      </c>
      <c r="H302" s="7">
        <v>1.6325000000000001</v>
      </c>
      <c r="I302" s="4">
        <v>0.17030000000000001</v>
      </c>
      <c r="J302" s="2">
        <v>1.4006000000000001</v>
      </c>
      <c r="K302" s="1" t="s">
        <v>619</v>
      </c>
      <c r="L302" s="4">
        <v>0.56449626406108899</v>
      </c>
      <c r="M302"/>
      <c r="N302"/>
      <c r="O302"/>
      <c r="P302"/>
      <c r="Q302"/>
    </row>
    <row r="303" spans="1:17" x14ac:dyDescent="0.3">
      <c r="A303" s="1" t="s">
        <v>218</v>
      </c>
      <c r="B303" s="1" t="s">
        <v>76</v>
      </c>
      <c r="C303">
        <v>1987</v>
      </c>
      <c r="D303" s="7">
        <v>1.6601999999999999</v>
      </c>
      <c r="E303" s="7">
        <v>1.6525000000000001</v>
      </c>
      <c r="F303" s="7">
        <v>2.0874999999999999</v>
      </c>
      <c r="G303" s="7">
        <v>1.3125</v>
      </c>
      <c r="H303" s="7">
        <v>1.855</v>
      </c>
      <c r="I303" s="4">
        <v>0.1363</v>
      </c>
      <c r="J303" s="2">
        <v>1.7269000000000001</v>
      </c>
      <c r="K303" s="1" t="s">
        <v>619</v>
      </c>
      <c r="L303" s="4">
        <v>0.46681122756294402</v>
      </c>
      <c r="M303"/>
      <c r="N303"/>
      <c r="O303"/>
      <c r="P303"/>
      <c r="Q303"/>
    </row>
    <row r="304" spans="1:17" x14ac:dyDescent="0.3">
      <c r="A304" s="1" t="s">
        <v>217</v>
      </c>
      <c r="B304" s="1" t="s">
        <v>76</v>
      </c>
      <c r="C304">
        <v>1988</v>
      </c>
      <c r="D304" s="7">
        <v>2.2334999999999998</v>
      </c>
      <c r="E304" s="7">
        <v>1.8825000000000001</v>
      </c>
      <c r="F304" s="7">
        <v>3.782</v>
      </c>
      <c r="G304" s="7">
        <v>1.6</v>
      </c>
      <c r="H304" s="7">
        <v>2.4375</v>
      </c>
      <c r="I304" s="4">
        <v>0.314</v>
      </c>
      <c r="J304" s="2">
        <v>2.4255</v>
      </c>
      <c r="K304" s="1" t="s">
        <v>619</v>
      </c>
      <c r="L304" s="4">
        <v>0.97694201925229496</v>
      </c>
      <c r="M304"/>
      <c r="N304"/>
      <c r="O304"/>
      <c r="P304"/>
      <c r="Q304"/>
    </row>
    <row r="305" spans="1:17" x14ac:dyDescent="0.3">
      <c r="A305" s="1" t="s">
        <v>216</v>
      </c>
      <c r="B305" s="1" t="s">
        <v>76</v>
      </c>
      <c r="C305">
        <v>1989</v>
      </c>
      <c r="D305" s="7">
        <v>1.7197</v>
      </c>
      <c r="E305" s="7">
        <v>2.4500000000000002</v>
      </c>
      <c r="F305" s="7">
        <v>2.4550000000000001</v>
      </c>
      <c r="G305" s="7">
        <v>1.3049999999999999</v>
      </c>
      <c r="H305" s="7">
        <v>1.5349999999999999</v>
      </c>
      <c r="I305" s="4">
        <v>-0.37030000000000002</v>
      </c>
      <c r="J305" s="2">
        <v>1.9361999999999999</v>
      </c>
      <c r="K305" s="1" t="s">
        <v>620</v>
      </c>
      <c r="L305" s="4">
        <v>0.66872128859684798</v>
      </c>
      <c r="M305"/>
      <c r="N305"/>
      <c r="O305"/>
      <c r="P305"/>
      <c r="Q305"/>
    </row>
    <row r="306" spans="1:17" x14ac:dyDescent="0.3">
      <c r="A306" s="1" t="s">
        <v>215</v>
      </c>
      <c r="B306" s="1" t="s">
        <v>76</v>
      </c>
      <c r="C306">
        <v>1990</v>
      </c>
      <c r="D306" s="7">
        <v>1.3416999999999999</v>
      </c>
      <c r="E306" s="7">
        <v>1.5125</v>
      </c>
      <c r="F306" s="7">
        <v>1.78</v>
      </c>
      <c r="G306" s="7">
        <v>1.0449999999999999</v>
      </c>
      <c r="H306" s="7">
        <v>1.1025</v>
      </c>
      <c r="I306" s="4">
        <v>-0.28179999999999999</v>
      </c>
      <c r="J306" s="2">
        <v>1.36</v>
      </c>
      <c r="K306" s="1" t="s">
        <v>620</v>
      </c>
      <c r="L306" s="4">
        <v>0.54781247670865296</v>
      </c>
      <c r="M306"/>
      <c r="N306"/>
      <c r="O306"/>
      <c r="P306"/>
      <c r="Q306"/>
    </row>
    <row r="307" spans="1:17" x14ac:dyDescent="0.3">
      <c r="A307" s="1" t="s">
        <v>214</v>
      </c>
      <c r="B307" s="1" t="s">
        <v>76</v>
      </c>
      <c r="C307">
        <v>1991</v>
      </c>
      <c r="D307" s="7">
        <v>1.2461</v>
      </c>
      <c r="E307" s="7">
        <v>1.095</v>
      </c>
      <c r="F307" s="7">
        <v>1.4</v>
      </c>
      <c r="G307" s="7">
        <v>1.0375000000000001</v>
      </c>
      <c r="H307" s="7">
        <v>1.38</v>
      </c>
      <c r="I307" s="4">
        <v>0.25169999999999998</v>
      </c>
      <c r="J307" s="2">
        <v>1.2281</v>
      </c>
      <c r="K307" s="1" t="s">
        <v>619</v>
      </c>
      <c r="L307" s="4">
        <v>0.29090763181125101</v>
      </c>
      <c r="M307"/>
      <c r="N307"/>
      <c r="O307"/>
      <c r="P307"/>
      <c r="Q307"/>
    </row>
    <row r="308" spans="1:17" x14ac:dyDescent="0.3">
      <c r="A308" s="1" t="s">
        <v>213</v>
      </c>
      <c r="B308" s="1" t="s">
        <v>76</v>
      </c>
      <c r="C308">
        <v>1992</v>
      </c>
      <c r="D308" s="7">
        <v>1.4043000000000001</v>
      </c>
      <c r="E308" s="7">
        <v>1.365</v>
      </c>
      <c r="F308" s="7">
        <v>1.71</v>
      </c>
      <c r="G308" s="7">
        <v>1.1325000000000001</v>
      </c>
      <c r="H308" s="7">
        <v>1.4524999999999999</v>
      </c>
      <c r="I308" s="4">
        <v>5.2499999999999998E-2</v>
      </c>
      <c r="J308" s="2">
        <v>1.415</v>
      </c>
      <c r="K308" s="1" t="s">
        <v>619</v>
      </c>
      <c r="L308" s="4">
        <v>0.41123691518906202</v>
      </c>
      <c r="M308"/>
      <c r="N308"/>
      <c r="O308"/>
      <c r="P308"/>
      <c r="Q308"/>
    </row>
    <row r="309" spans="1:17" x14ac:dyDescent="0.3">
      <c r="A309" s="1" t="s">
        <v>212</v>
      </c>
      <c r="B309" s="1" t="s">
        <v>76</v>
      </c>
      <c r="C309">
        <v>1993</v>
      </c>
      <c r="D309" s="7">
        <v>1.3947000000000001</v>
      </c>
      <c r="E309" s="7">
        <v>1.4325000000000001</v>
      </c>
      <c r="F309" s="7">
        <v>1.5625</v>
      </c>
      <c r="G309" s="7">
        <v>1.2825</v>
      </c>
      <c r="H309" s="7">
        <v>1.3674999999999999</v>
      </c>
      <c r="I309" s="4">
        <v>-5.8500000000000003E-2</v>
      </c>
      <c r="J309" s="2">
        <v>1.4112</v>
      </c>
      <c r="K309" s="1" t="s">
        <v>620</v>
      </c>
      <c r="L309" s="4">
        <v>0.20076002007600199</v>
      </c>
      <c r="M309"/>
      <c r="N309"/>
      <c r="O309"/>
      <c r="P309"/>
      <c r="Q309"/>
    </row>
    <row r="310" spans="1:17" x14ac:dyDescent="0.3">
      <c r="A310" s="1" t="s">
        <v>211</v>
      </c>
      <c r="B310" s="1" t="s">
        <v>76</v>
      </c>
      <c r="C310">
        <v>1994</v>
      </c>
      <c r="D310" s="7">
        <v>1.2485999999999999</v>
      </c>
      <c r="E310" s="7">
        <v>1.3574999999999999</v>
      </c>
      <c r="F310" s="7">
        <v>1.4275</v>
      </c>
      <c r="G310" s="7">
        <v>1.1200000000000001</v>
      </c>
      <c r="H310" s="7">
        <v>1.2175</v>
      </c>
      <c r="I310" s="4">
        <v>-0.10970000000000001</v>
      </c>
      <c r="J310" s="2">
        <v>1.2806</v>
      </c>
      <c r="K310" s="1" t="s">
        <v>620</v>
      </c>
      <c r="L310" s="4">
        <v>0.2462758289284</v>
      </c>
      <c r="M310"/>
      <c r="N310"/>
      <c r="O310"/>
      <c r="P310"/>
      <c r="Q310"/>
    </row>
    <row r="311" spans="1:17" x14ac:dyDescent="0.3">
      <c r="A311" s="1" t="s">
        <v>210</v>
      </c>
      <c r="B311" s="1" t="s">
        <v>76</v>
      </c>
      <c r="C311">
        <v>1995</v>
      </c>
      <c r="D311" s="7">
        <v>1.6158999999999999</v>
      </c>
      <c r="E311" s="7">
        <v>1.2549999999999999</v>
      </c>
      <c r="F311" s="7">
        <v>2.4375</v>
      </c>
      <c r="G311" s="7">
        <v>1.1825000000000001</v>
      </c>
      <c r="H311" s="7">
        <v>2.4224999999999999</v>
      </c>
      <c r="I311" s="4">
        <v>0.98970000000000002</v>
      </c>
      <c r="J311" s="2">
        <v>1.8244</v>
      </c>
      <c r="K311" s="1" t="s">
        <v>619</v>
      </c>
      <c r="L311" s="4">
        <v>0.77665697134723699</v>
      </c>
      <c r="M311"/>
      <c r="N311"/>
      <c r="O311"/>
      <c r="P311"/>
      <c r="Q311"/>
    </row>
    <row r="312" spans="1:17" x14ac:dyDescent="0.3">
      <c r="A312" s="1" t="s">
        <v>209</v>
      </c>
      <c r="B312" s="1" t="s">
        <v>76</v>
      </c>
      <c r="C312">
        <v>1996</v>
      </c>
      <c r="D312" s="7">
        <v>2.0421</v>
      </c>
      <c r="E312" s="7">
        <v>2.4649999999999999</v>
      </c>
      <c r="F312" s="7">
        <v>2.85</v>
      </c>
      <c r="G312" s="7">
        <v>1.5125</v>
      </c>
      <c r="H312" s="7">
        <v>1.52</v>
      </c>
      <c r="I312" s="4">
        <v>-0.3725</v>
      </c>
      <c r="J312" s="2">
        <v>2.0869</v>
      </c>
      <c r="K312" s="1" t="s">
        <v>620</v>
      </c>
      <c r="L312" s="4">
        <v>0.65496302825522801</v>
      </c>
      <c r="M312"/>
      <c r="N312"/>
      <c r="O312"/>
      <c r="P312"/>
      <c r="Q312"/>
    </row>
    <row r="313" spans="1:17" x14ac:dyDescent="0.3">
      <c r="A313" s="1" t="s">
        <v>208</v>
      </c>
      <c r="B313" s="1" t="s">
        <v>76</v>
      </c>
      <c r="C313">
        <v>1997</v>
      </c>
      <c r="D313" s="7">
        <v>1.623</v>
      </c>
      <c r="E313" s="7">
        <v>1.5549999999999999</v>
      </c>
      <c r="F313" s="7">
        <v>1.8574999999999999</v>
      </c>
      <c r="G313" s="7">
        <v>1.44</v>
      </c>
      <c r="H313" s="7">
        <v>1.4975000000000001</v>
      </c>
      <c r="I313" s="4">
        <v>-1.4800000000000001E-2</v>
      </c>
      <c r="J313" s="2">
        <v>1.5874999999999999</v>
      </c>
      <c r="K313" s="1" t="s">
        <v>620</v>
      </c>
      <c r="L313" s="4">
        <v>0.25723967960566801</v>
      </c>
      <c r="M313"/>
      <c r="N313"/>
      <c r="O313"/>
      <c r="P313"/>
      <c r="Q313"/>
    </row>
    <row r="314" spans="1:17" x14ac:dyDescent="0.3">
      <c r="A314" s="1" t="s">
        <v>207</v>
      </c>
      <c r="B314" s="1" t="s">
        <v>76</v>
      </c>
      <c r="C314">
        <v>1998</v>
      </c>
      <c r="D314" s="7">
        <v>1.2458</v>
      </c>
      <c r="E314" s="7">
        <v>1.5024999999999999</v>
      </c>
      <c r="F314" s="7">
        <v>1.5325</v>
      </c>
      <c r="G314" s="7">
        <v>1.0149999999999999</v>
      </c>
      <c r="H314" s="7">
        <v>1.0549999999999999</v>
      </c>
      <c r="I314" s="4">
        <v>-0.29549999999999998</v>
      </c>
      <c r="J314" s="2">
        <v>1.2762</v>
      </c>
      <c r="K314" s="1" t="s">
        <v>620</v>
      </c>
      <c r="L314" s="4">
        <v>0.41539572965163002</v>
      </c>
      <c r="M314"/>
      <c r="N314"/>
      <c r="O314"/>
      <c r="P314"/>
      <c r="Q314"/>
    </row>
    <row r="315" spans="1:17" x14ac:dyDescent="0.3">
      <c r="A315" s="1" t="s">
        <v>206</v>
      </c>
      <c r="B315" s="1" t="s">
        <v>76</v>
      </c>
      <c r="C315">
        <v>1999</v>
      </c>
      <c r="D315" s="7">
        <v>1.1229</v>
      </c>
      <c r="E315" s="7">
        <v>1.075</v>
      </c>
      <c r="F315" s="7">
        <v>1.2875000000000001</v>
      </c>
      <c r="G315" s="7">
        <v>1.01</v>
      </c>
      <c r="H315" s="7">
        <v>1.0925</v>
      </c>
      <c r="I315" s="4">
        <v>3.5499999999999997E-2</v>
      </c>
      <c r="J315" s="2">
        <v>1.1162000000000001</v>
      </c>
      <c r="K315" s="1" t="s">
        <v>619</v>
      </c>
      <c r="L315" s="4">
        <v>0.24712797221480101</v>
      </c>
      <c r="M315"/>
      <c r="N315"/>
      <c r="O315"/>
      <c r="P315"/>
      <c r="Q315"/>
    </row>
    <row r="316" spans="1:17" x14ac:dyDescent="0.3">
      <c r="A316" s="1" t="s">
        <v>205</v>
      </c>
      <c r="B316" s="1" t="s">
        <v>76</v>
      </c>
      <c r="C316">
        <v>2000</v>
      </c>
      <c r="D316" s="7">
        <v>1.1092</v>
      </c>
      <c r="E316" s="7">
        <v>1.0825</v>
      </c>
      <c r="F316" s="7">
        <v>1.2825</v>
      </c>
      <c r="G316" s="7">
        <v>0.96499999999999997</v>
      </c>
      <c r="H316" s="7">
        <v>1.1425000000000001</v>
      </c>
      <c r="I316" s="4">
        <v>4.58E-2</v>
      </c>
      <c r="J316" s="2">
        <v>1.1181000000000001</v>
      </c>
      <c r="K316" s="1" t="s">
        <v>619</v>
      </c>
      <c r="L316" s="4">
        <v>0.28624233681932898</v>
      </c>
      <c r="M316"/>
      <c r="N316"/>
      <c r="O316"/>
      <c r="P316"/>
      <c r="Q316"/>
    </row>
    <row r="317" spans="1:17" x14ac:dyDescent="0.3">
      <c r="A317" s="1" t="s">
        <v>204</v>
      </c>
      <c r="B317" s="1" t="s">
        <v>76</v>
      </c>
      <c r="C317">
        <v>2001</v>
      </c>
      <c r="D317" s="7">
        <v>1.3806</v>
      </c>
      <c r="E317" s="7">
        <v>1.125</v>
      </c>
      <c r="F317" s="7">
        <v>2.2149999999999999</v>
      </c>
      <c r="G317" s="7">
        <v>1.0149999999999999</v>
      </c>
      <c r="H317" s="7">
        <v>1.9575</v>
      </c>
      <c r="I317" s="4">
        <v>0.71330000000000005</v>
      </c>
      <c r="J317" s="2">
        <v>1.5781000000000001</v>
      </c>
      <c r="K317" s="1" t="s">
        <v>619</v>
      </c>
      <c r="L317" s="4">
        <v>0.86918730986527604</v>
      </c>
      <c r="M317"/>
      <c r="N317"/>
      <c r="O317"/>
      <c r="P317"/>
      <c r="Q317"/>
    </row>
    <row r="318" spans="1:17" x14ac:dyDescent="0.3">
      <c r="A318" s="1" t="s">
        <v>203</v>
      </c>
      <c r="B318" s="1" t="s">
        <v>76</v>
      </c>
      <c r="C318">
        <v>2002</v>
      </c>
      <c r="D318" s="7">
        <v>1.9038999999999999</v>
      </c>
      <c r="E318" s="7">
        <v>2.0375000000000001</v>
      </c>
      <c r="F318" s="7">
        <v>2.2949999999999999</v>
      </c>
      <c r="G318" s="7">
        <v>1.3374999999999999</v>
      </c>
      <c r="H318" s="7">
        <v>2.0175000000000001</v>
      </c>
      <c r="I318" s="4">
        <v>3.0700000000000002E-2</v>
      </c>
      <c r="J318" s="2">
        <v>1.9218999999999999</v>
      </c>
      <c r="K318" s="1" t="s">
        <v>619</v>
      </c>
      <c r="L318" s="4">
        <v>0.50291506906875405</v>
      </c>
      <c r="M318"/>
      <c r="N318"/>
      <c r="O318"/>
      <c r="P318"/>
      <c r="Q318"/>
    </row>
    <row r="319" spans="1:17" x14ac:dyDescent="0.3">
      <c r="A319" s="1" t="s">
        <v>202</v>
      </c>
      <c r="B319" s="1" t="s">
        <v>76</v>
      </c>
      <c r="C319">
        <v>2003</v>
      </c>
      <c r="D319" s="7">
        <v>1.5989</v>
      </c>
      <c r="E319" s="7">
        <v>2.0550000000000002</v>
      </c>
      <c r="F319" s="7">
        <v>2.2549999999999999</v>
      </c>
      <c r="G319" s="7">
        <v>1.2424999999999999</v>
      </c>
      <c r="H319" s="7">
        <v>1.4624999999999999</v>
      </c>
      <c r="I319" s="4">
        <v>-0.27510000000000001</v>
      </c>
      <c r="J319" s="2">
        <v>1.7538</v>
      </c>
      <c r="K319" s="1" t="s">
        <v>620</v>
      </c>
      <c r="L319" s="4">
        <v>0.63324785790230798</v>
      </c>
      <c r="M319"/>
      <c r="N319"/>
      <c r="O319"/>
      <c r="P319"/>
      <c r="Q319"/>
    </row>
    <row r="320" spans="1:17" x14ac:dyDescent="0.3">
      <c r="A320" s="1" t="s">
        <v>201</v>
      </c>
      <c r="B320" s="1" t="s">
        <v>76</v>
      </c>
      <c r="C320">
        <v>2004</v>
      </c>
      <c r="D320" s="7">
        <v>1.5146999999999999</v>
      </c>
      <c r="E320" s="7">
        <v>1.52</v>
      </c>
      <c r="F320" s="7">
        <v>1.7949999999999999</v>
      </c>
      <c r="G320" s="7">
        <v>1.2175</v>
      </c>
      <c r="H320" s="7">
        <v>1.5625</v>
      </c>
      <c r="I320" s="4">
        <v>6.8400000000000002E-2</v>
      </c>
      <c r="J320" s="2">
        <v>1.5238</v>
      </c>
      <c r="K320" s="1" t="s">
        <v>619</v>
      </c>
      <c r="L320" s="4">
        <v>0.381263616557734</v>
      </c>
      <c r="M320"/>
      <c r="N320"/>
      <c r="O320"/>
      <c r="P320"/>
      <c r="Q320"/>
    </row>
    <row r="321" spans="1:17" x14ac:dyDescent="0.3">
      <c r="A321" s="1" t="s">
        <v>200</v>
      </c>
      <c r="B321" s="1" t="s">
        <v>76</v>
      </c>
      <c r="C321">
        <v>2005</v>
      </c>
      <c r="D321" s="7">
        <v>1.6095999999999999</v>
      </c>
      <c r="E321" s="7">
        <v>1.5674999999999999</v>
      </c>
      <c r="F321" s="7">
        <v>2.0499999999999998</v>
      </c>
      <c r="G321" s="7">
        <v>1.32</v>
      </c>
      <c r="H321" s="7">
        <v>1.95</v>
      </c>
      <c r="I321" s="4">
        <v>0.248</v>
      </c>
      <c r="J321" s="2">
        <v>1.7219</v>
      </c>
      <c r="K321" s="1" t="s">
        <v>619</v>
      </c>
      <c r="L321" s="4">
        <v>0.45352882703777297</v>
      </c>
      <c r="M321"/>
      <c r="N321"/>
      <c r="O321"/>
      <c r="P321"/>
      <c r="Q321"/>
    </row>
    <row r="322" spans="1:17" x14ac:dyDescent="0.3">
      <c r="A322" s="1" t="s">
        <v>199</v>
      </c>
      <c r="B322" s="1" t="s">
        <v>76</v>
      </c>
      <c r="C322">
        <v>2006</v>
      </c>
      <c r="D322" s="7">
        <v>2.0430999999999999</v>
      </c>
      <c r="E322" s="7">
        <v>1.9975000000000001</v>
      </c>
      <c r="F322" s="7">
        <v>2.7774999999999999</v>
      </c>
      <c r="G322" s="7">
        <v>1.7024999999999999</v>
      </c>
      <c r="H322" s="7">
        <v>2.71</v>
      </c>
      <c r="I322" s="4">
        <v>0.38969999999999999</v>
      </c>
      <c r="J322" s="2">
        <v>2.2968999999999999</v>
      </c>
      <c r="K322" s="1" t="s">
        <v>619</v>
      </c>
      <c r="L322" s="4">
        <v>0.52616122558856604</v>
      </c>
      <c r="M322"/>
      <c r="N322"/>
      <c r="O322"/>
      <c r="P322"/>
      <c r="Q322"/>
    </row>
    <row r="323" spans="1:17" x14ac:dyDescent="0.3">
      <c r="A323" s="1" t="s">
        <v>198</v>
      </c>
      <c r="B323" s="1" t="s">
        <v>76</v>
      </c>
      <c r="C323">
        <v>2007</v>
      </c>
      <c r="D323" s="7">
        <v>2.7014999999999998</v>
      </c>
      <c r="E323" s="7">
        <v>2.71</v>
      </c>
      <c r="F323" s="7">
        <v>3.09</v>
      </c>
      <c r="G323" s="7">
        <v>2.375</v>
      </c>
      <c r="H323" s="7">
        <v>3.0674999999999999</v>
      </c>
      <c r="I323" s="4">
        <v>0.13189999999999999</v>
      </c>
      <c r="J323" s="2">
        <v>2.8106</v>
      </c>
      <c r="K323" s="1" t="s">
        <v>619</v>
      </c>
      <c r="L323" s="4">
        <v>0.264667777160837</v>
      </c>
      <c r="M323"/>
      <c r="N323"/>
      <c r="O323"/>
      <c r="P323"/>
      <c r="Q323"/>
    </row>
    <row r="324" spans="1:17" x14ac:dyDescent="0.3">
      <c r="A324" s="1" t="s">
        <v>197</v>
      </c>
      <c r="B324" s="1" t="s">
        <v>76</v>
      </c>
      <c r="C324">
        <v>2008</v>
      </c>
      <c r="D324" s="7">
        <v>3.4199000000000002</v>
      </c>
      <c r="E324" s="7">
        <v>3.12</v>
      </c>
      <c r="F324" s="7">
        <v>4.6775000000000002</v>
      </c>
      <c r="G324" s="7">
        <v>1.99</v>
      </c>
      <c r="H324" s="7">
        <v>2.1</v>
      </c>
      <c r="I324" s="4">
        <v>-0.31540000000000001</v>
      </c>
      <c r="J324" s="2">
        <v>2.9719000000000002</v>
      </c>
      <c r="K324" s="1" t="s">
        <v>620</v>
      </c>
      <c r="L324" s="4">
        <v>0.78584169127752301</v>
      </c>
      <c r="M324"/>
      <c r="N324"/>
      <c r="O324"/>
      <c r="P324"/>
      <c r="Q324"/>
    </row>
    <row r="325" spans="1:17" x14ac:dyDescent="0.3">
      <c r="A325" s="1" t="s">
        <v>196</v>
      </c>
      <c r="B325" s="1" t="s">
        <v>76</v>
      </c>
      <c r="C325">
        <v>2009</v>
      </c>
      <c r="D325" s="7">
        <v>2.206</v>
      </c>
      <c r="E325" s="7">
        <v>2.12</v>
      </c>
      <c r="F325" s="7">
        <v>2.77</v>
      </c>
      <c r="G325" s="7">
        <v>1.6850000000000001</v>
      </c>
      <c r="H325" s="7">
        <v>2.77</v>
      </c>
      <c r="I325" s="4">
        <v>0.31900000000000001</v>
      </c>
      <c r="J325" s="2">
        <v>2.3361999999999998</v>
      </c>
      <c r="K325" s="1" t="s">
        <v>619</v>
      </c>
      <c r="L325" s="4">
        <v>0.49184043517679099</v>
      </c>
      <c r="M325"/>
      <c r="N325"/>
      <c r="O325"/>
      <c r="P325"/>
      <c r="Q325"/>
    </row>
    <row r="326" spans="1:17" x14ac:dyDescent="0.3">
      <c r="A326" s="1" t="s">
        <v>195</v>
      </c>
      <c r="B326" s="1" t="s">
        <v>76</v>
      </c>
      <c r="C326">
        <v>2010</v>
      </c>
      <c r="D326" s="7">
        <v>2.7633999999999999</v>
      </c>
      <c r="E326" s="7">
        <v>2.79</v>
      </c>
      <c r="F326" s="7">
        <v>3.9424999999999999</v>
      </c>
      <c r="G326" s="7">
        <v>1.9075</v>
      </c>
      <c r="H326" s="7">
        <v>3.94</v>
      </c>
      <c r="I326" s="4">
        <v>0.4224</v>
      </c>
      <c r="J326" s="2">
        <v>3.145</v>
      </c>
      <c r="K326" s="1" t="s">
        <v>619</v>
      </c>
      <c r="L326" s="4">
        <v>0.73641166678729097</v>
      </c>
      <c r="M326"/>
      <c r="N326"/>
      <c r="O326"/>
      <c r="P326"/>
      <c r="Q326"/>
    </row>
    <row r="327" spans="1:17" x14ac:dyDescent="0.3">
      <c r="A327" s="1" t="s">
        <v>194</v>
      </c>
      <c r="B327" s="1" t="s">
        <v>76</v>
      </c>
      <c r="C327">
        <v>2011</v>
      </c>
      <c r="D327" s="7">
        <v>3.5444</v>
      </c>
      <c r="E327" s="7">
        <v>3.98</v>
      </c>
      <c r="F327" s="7">
        <v>4.2450000000000001</v>
      </c>
      <c r="G327" s="7">
        <v>2.91</v>
      </c>
      <c r="H327" s="7">
        <v>3.0950000000000002</v>
      </c>
      <c r="I327" s="4">
        <v>-0.2145</v>
      </c>
      <c r="J327" s="2">
        <v>3.5575000000000001</v>
      </c>
      <c r="K327" s="1" t="s">
        <v>620</v>
      </c>
      <c r="L327" s="4">
        <v>0.37665049091524699</v>
      </c>
      <c r="M327"/>
      <c r="N327"/>
      <c r="O327"/>
      <c r="P327"/>
      <c r="Q327"/>
    </row>
    <row r="328" spans="1:17" x14ac:dyDescent="0.3">
      <c r="A328" s="1" t="s">
        <v>193</v>
      </c>
      <c r="B328" s="1" t="s">
        <v>76</v>
      </c>
      <c r="C328">
        <v>2012</v>
      </c>
      <c r="D328" s="7">
        <v>3.4782000000000002</v>
      </c>
      <c r="E328" s="7">
        <v>2.9849999999999999</v>
      </c>
      <c r="F328" s="7">
        <v>3.98</v>
      </c>
      <c r="G328" s="7">
        <v>2.7075</v>
      </c>
      <c r="H328" s="7">
        <v>3.4750000000000001</v>
      </c>
      <c r="I328" s="4">
        <v>0.12280000000000001</v>
      </c>
      <c r="J328" s="2">
        <v>3.2869000000000002</v>
      </c>
      <c r="K328" s="1" t="s">
        <v>619</v>
      </c>
      <c r="L328" s="4">
        <v>0.36585015237766699</v>
      </c>
      <c r="M328"/>
      <c r="N328"/>
      <c r="O328"/>
      <c r="P328"/>
      <c r="Q328"/>
    </row>
    <row r="329" spans="1:17" x14ac:dyDescent="0.3">
      <c r="A329" s="1" t="s">
        <v>192</v>
      </c>
      <c r="B329" s="1" t="s">
        <v>76</v>
      </c>
      <c r="C329">
        <v>2013</v>
      </c>
      <c r="D329" s="7">
        <v>3.593</v>
      </c>
      <c r="E329" s="7">
        <v>3.355</v>
      </c>
      <c r="F329" s="7">
        <v>4.125</v>
      </c>
      <c r="G329" s="7">
        <v>3.0375000000000001</v>
      </c>
      <c r="H329" s="7">
        <v>3.5425</v>
      </c>
      <c r="I329" s="4">
        <v>1.9400000000000001E-2</v>
      </c>
      <c r="J329" s="2">
        <v>3.5150000000000001</v>
      </c>
      <c r="K329" s="1" t="s">
        <v>619</v>
      </c>
      <c r="L329" s="4">
        <v>0.30267186195379903</v>
      </c>
      <c r="M329"/>
      <c r="N329"/>
      <c r="O329"/>
      <c r="P329"/>
      <c r="Q329"/>
    </row>
    <row r="330" spans="1:17" x14ac:dyDescent="0.3">
      <c r="A330" s="1" t="s">
        <v>191</v>
      </c>
      <c r="B330" s="1" t="s">
        <v>76</v>
      </c>
      <c r="C330">
        <v>2014</v>
      </c>
      <c r="D330" s="7">
        <v>3.6688999999999998</v>
      </c>
      <c r="E330" s="7">
        <v>3.51</v>
      </c>
      <c r="F330" s="7">
        <v>4.9604999999999997</v>
      </c>
      <c r="G330" s="7">
        <v>3.028</v>
      </c>
      <c r="H330" s="7">
        <v>3.0350000000000001</v>
      </c>
      <c r="I330" s="4">
        <v>-0.14330000000000001</v>
      </c>
      <c r="J330" s="2">
        <v>3.6334</v>
      </c>
      <c r="K330" s="1" t="s">
        <v>620</v>
      </c>
      <c r="L330" s="4">
        <v>0.52672463136089798</v>
      </c>
      <c r="M330"/>
      <c r="N330"/>
      <c r="O330"/>
      <c r="P330"/>
      <c r="Q330"/>
    </row>
    <row r="331" spans="1:17" x14ac:dyDescent="0.3">
      <c r="A331" s="1" t="s">
        <v>190</v>
      </c>
      <c r="B331" s="1" t="s">
        <v>76</v>
      </c>
      <c r="C331">
        <v>2015</v>
      </c>
      <c r="D331" s="7">
        <v>2.4878</v>
      </c>
      <c r="E331" s="7">
        <v>3.0249999999999999</v>
      </c>
      <c r="F331" s="7">
        <v>3.06</v>
      </c>
      <c r="G331" s="7">
        <v>2.1175000000000002</v>
      </c>
      <c r="H331" s="7">
        <v>2.1724999999999999</v>
      </c>
      <c r="I331" s="4">
        <v>-0.28420000000000001</v>
      </c>
      <c r="J331" s="2">
        <v>2.5937999999999999</v>
      </c>
      <c r="K331" s="1" t="s">
        <v>620</v>
      </c>
      <c r="L331" s="4">
        <v>0.37884878205643502</v>
      </c>
      <c r="M331"/>
      <c r="N331"/>
      <c r="O331"/>
      <c r="P331"/>
      <c r="Q331"/>
    </row>
    <row r="332" spans="1:17" x14ac:dyDescent="0.3">
      <c r="A332" s="1" t="s">
        <v>189</v>
      </c>
      <c r="B332" s="1" t="s">
        <v>76</v>
      </c>
      <c r="C332">
        <v>2016</v>
      </c>
      <c r="D332" s="7">
        <v>1.9767999999999999</v>
      </c>
      <c r="E332" s="7">
        <v>2.105</v>
      </c>
      <c r="F332" s="7">
        <v>2.35</v>
      </c>
      <c r="G332" s="7">
        <v>1.67</v>
      </c>
      <c r="H332" s="7">
        <v>2.2850000000000001</v>
      </c>
      <c r="I332" s="4">
        <v>5.1799999999999999E-2</v>
      </c>
      <c r="J332" s="2">
        <v>2.1025</v>
      </c>
      <c r="K332" s="1" t="s">
        <v>619</v>
      </c>
      <c r="L332" s="4">
        <v>0.34399028733306403</v>
      </c>
      <c r="M332"/>
      <c r="N332"/>
      <c r="O332"/>
      <c r="P332"/>
      <c r="Q332"/>
    </row>
    <row r="333" spans="1:17" x14ac:dyDescent="0.3">
      <c r="A333" s="1" t="s">
        <v>188</v>
      </c>
      <c r="B333" s="1" t="s">
        <v>76</v>
      </c>
      <c r="C333">
        <v>2017</v>
      </c>
      <c r="D333" s="7">
        <v>2.5188999999999999</v>
      </c>
      <c r="E333" s="7">
        <v>2.355</v>
      </c>
      <c r="F333" s="7">
        <v>2.9575</v>
      </c>
      <c r="G333" s="7">
        <v>2.165</v>
      </c>
      <c r="H333" s="7">
        <v>2.41</v>
      </c>
      <c r="I333" s="4">
        <v>5.4699999999999999E-2</v>
      </c>
      <c r="J333" s="2">
        <v>2.4719000000000002</v>
      </c>
      <c r="K333" s="1" t="s">
        <v>619</v>
      </c>
      <c r="L333" s="4">
        <v>0.31462146174917599</v>
      </c>
      <c r="M333"/>
      <c r="N333"/>
      <c r="O333"/>
      <c r="P333"/>
      <c r="Q333"/>
    </row>
    <row r="334" spans="1:17" x14ac:dyDescent="0.3">
      <c r="A334" s="1" t="s">
        <v>187</v>
      </c>
      <c r="B334" s="1" t="s">
        <v>76</v>
      </c>
      <c r="C334">
        <v>2018</v>
      </c>
      <c r="D334" s="7">
        <v>2.5712000000000002</v>
      </c>
      <c r="E334" s="7">
        <v>2.4249999999999998</v>
      </c>
      <c r="F334" s="7">
        <v>3.0449999999999999</v>
      </c>
      <c r="G334" s="7">
        <v>2.2174999999999998</v>
      </c>
      <c r="H334" s="7">
        <v>2.7524999999999999</v>
      </c>
      <c r="I334" s="4">
        <v>0.1421</v>
      </c>
      <c r="J334" s="2">
        <v>2.61</v>
      </c>
      <c r="K334" s="1" t="s">
        <v>619</v>
      </c>
      <c r="L334" s="4">
        <v>0.32183416303671403</v>
      </c>
      <c r="M334"/>
      <c r="N334"/>
      <c r="O334"/>
      <c r="P334"/>
      <c r="Q334"/>
    </row>
    <row r="335" spans="1:17" x14ac:dyDescent="0.3">
      <c r="A335" s="1" t="s">
        <v>186</v>
      </c>
      <c r="B335" s="1" t="s">
        <v>76</v>
      </c>
      <c r="C335">
        <v>2019</v>
      </c>
      <c r="D335" s="7">
        <v>2.855</v>
      </c>
      <c r="E335" s="7">
        <v>2.7825000000000002</v>
      </c>
      <c r="F335" s="7">
        <v>3.1850000000000001</v>
      </c>
      <c r="G335" s="7">
        <v>2.56</v>
      </c>
      <c r="H335" s="7">
        <v>2.92</v>
      </c>
      <c r="I335" s="4">
        <v>6.0900000000000003E-2</v>
      </c>
      <c r="J335" s="2">
        <v>2.8618999999999999</v>
      </c>
      <c r="K335" s="1" t="s">
        <v>619</v>
      </c>
      <c r="L335" s="4">
        <v>0.21891418563922899</v>
      </c>
      <c r="M335"/>
      <c r="N335"/>
      <c r="O335"/>
      <c r="P335"/>
      <c r="Q335"/>
    </row>
    <row r="336" spans="1:17" x14ac:dyDescent="0.3">
      <c r="A336" s="1" t="s">
        <v>185</v>
      </c>
      <c r="B336" s="1" t="s">
        <v>76</v>
      </c>
      <c r="C336">
        <v>2020</v>
      </c>
      <c r="D336" s="7">
        <v>2.9390999999999998</v>
      </c>
      <c r="E336" s="7">
        <v>2.98</v>
      </c>
      <c r="F336" s="7">
        <v>3.6074999999999999</v>
      </c>
      <c r="G336" s="7">
        <v>2.5350000000000001</v>
      </c>
      <c r="H336" s="7">
        <v>3.6074999999999999</v>
      </c>
      <c r="I336" s="4">
        <v>0.2354</v>
      </c>
      <c r="J336" s="2">
        <v>3.1825000000000001</v>
      </c>
      <c r="K336" s="1" t="s">
        <v>619</v>
      </c>
      <c r="L336" s="4">
        <v>0.36490762478309702</v>
      </c>
      <c r="M336"/>
      <c r="N336"/>
      <c r="O336"/>
      <c r="P336"/>
      <c r="Q336"/>
    </row>
    <row r="337" spans="1:17" x14ac:dyDescent="0.3">
      <c r="A337" s="1" t="s">
        <v>184</v>
      </c>
      <c r="B337" s="1" t="s">
        <v>76</v>
      </c>
      <c r="C337">
        <v>2021</v>
      </c>
      <c r="D337" s="7">
        <v>4.8630000000000004</v>
      </c>
      <c r="E337" s="7">
        <v>3.56</v>
      </c>
      <c r="F337" s="7">
        <v>7.6449999999999996</v>
      </c>
      <c r="G337" s="7">
        <v>3.4525000000000001</v>
      </c>
      <c r="H337" s="7">
        <v>6.83</v>
      </c>
      <c r="I337" s="4">
        <v>0.89329999999999998</v>
      </c>
      <c r="J337" s="2">
        <v>5.3719000000000001</v>
      </c>
      <c r="K337" s="1" t="s">
        <v>619</v>
      </c>
      <c r="L337" s="4">
        <v>0.86212214682294896</v>
      </c>
      <c r="M337"/>
      <c r="N337"/>
      <c r="O337"/>
      <c r="P337"/>
      <c r="Q337"/>
    </row>
    <row r="338" spans="1:17" x14ac:dyDescent="0.3">
      <c r="A338" s="1" t="s">
        <v>183</v>
      </c>
      <c r="B338" s="1" t="s">
        <v>76</v>
      </c>
      <c r="C338">
        <v>2022</v>
      </c>
      <c r="D338" s="7">
        <v>5.3723999999999998</v>
      </c>
      <c r="E338" s="7">
        <v>6.8075000000000001</v>
      </c>
      <c r="F338" s="7">
        <v>8.07</v>
      </c>
      <c r="G338" s="7">
        <v>3.33</v>
      </c>
      <c r="H338" s="7">
        <v>3.6509999999999998</v>
      </c>
      <c r="I338" s="4">
        <v>-0.46539999999999998</v>
      </c>
      <c r="J338" s="2">
        <v>5.4645999999999999</v>
      </c>
      <c r="K338" s="1" t="s">
        <v>620</v>
      </c>
      <c r="L338" s="4">
        <v>0.88228724592360996</v>
      </c>
      <c r="M338"/>
      <c r="N338"/>
      <c r="O338"/>
      <c r="P338"/>
      <c r="Q338"/>
    </row>
    <row r="339" spans="1:17" x14ac:dyDescent="0.3">
      <c r="A339" s="1" t="s">
        <v>182</v>
      </c>
      <c r="B339" s="1" t="s">
        <v>76</v>
      </c>
      <c r="C339">
        <v>2023</v>
      </c>
      <c r="D339" s="7">
        <v>3.8765999999999998</v>
      </c>
      <c r="E339" s="7">
        <v>3.6524999999999999</v>
      </c>
      <c r="F339" s="7">
        <v>5.1775000000000002</v>
      </c>
      <c r="G339" s="7">
        <v>3.0274999999999999</v>
      </c>
      <c r="H339" s="7">
        <v>3.88</v>
      </c>
      <c r="I339" s="4">
        <v>6.2700000000000006E-2</v>
      </c>
      <c r="J339" s="2">
        <v>3.9344000000000001</v>
      </c>
      <c r="K339" s="1" t="s">
        <v>619</v>
      </c>
      <c r="L339" s="4">
        <v>0.55460970953928701</v>
      </c>
      <c r="M339"/>
      <c r="N339"/>
      <c r="O339"/>
      <c r="P339"/>
      <c r="Q339"/>
    </row>
    <row r="340" spans="1:17" x14ac:dyDescent="0.3">
      <c r="A340" s="1" t="s">
        <v>181</v>
      </c>
      <c r="B340" s="1" t="s">
        <v>76</v>
      </c>
      <c r="C340">
        <v>2024</v>
      </c>
      <c r="D340" s="7">
        <v>3.6642000000000001</v>
      </c>
      <c r="E340" s="7">
        <v>3.88</v>
      </c>
      <c r="F340" s="7">
        <v>4.2474999999999996</v>
      </c>
      <c r="G340" s="7">
        <v>3.24</v>
      </c>
      <c r="H340" s="7">
        <v>3.4874999999999998</v>
      </c>
      <c r="I340" s="4">
        <v>-0.1012</v>
      </c>
      <c r="J340" s="2">
        <v>3.7138</v>
      </c>
      <c r="K340" s="1" t="s">
        <v>620</v>
      </c>
      <c r="L340" s="4">
        <v>0.27495769881556698</v>
      </c>
      <c r="M340"/>
      <c r="N340"/>
      <c r="O340"/>
      <c r="P340"/>
      <c r="Q340"/>
    </row>
    <row r="341" spans="1:17" x14ac:dyDescent="0.3">
      <c r="A341" s="1" t="s">
        <v>290</v>
      </c>
      <c r="B341" s="1" t="s">
        <v>77</v>
      </c>
      <c r="C341">
        <v>1969</v>
      </c>
      <c r="D341" s="7">
        <v>2.4304999999999999</v>
      </c>
      <c r="E341" s="7">
        <v>2.4649999999999999</v>
      </c>
      <c r="F341" s="7">
        <v>2.5287999999999999</v>
      </c>
      <c r="G341" s="7">
        <v>2.375</v>
      </c>
      <c r="H341" s="7">
        <v>2.5078</v>
      </c>
      <c r="I341" s="4">
        <v>1.6799999999999999E-2</v>
      </c>
      <c r="J341" s="2">
        <v>2.4691999999999998</v>
      </c>
      <c r="K341" s="1" t="s">
        <v>619</v>
      </c>
      <c r="L341" s="4">
        <v>6.3279160666529499E-2</v>
      </c>
      <c r="M341"/>
      <c r="N341"/>
      <c r="O341"/>
      <c r="P341"/>
      <c r="Q341"/>
    </row>
    <row r="342" spans="1:17" x14ac:dyDescent="0.3">
      <c r="A342" s="1" t="s">
        <v>289</v>
      </c>
      <c r="B342" s="1" t="s">
        <v>77</v>
      </c>
      <c r="C342">
        <v>1970</v>
      </c>
      <c r="D342" s="7">
        <v>2.7850000000000001</v>
      </c>
      <c r="E342" s="7">
        <v>2.5125000000000002</v>
      </c>
      <c r="F342" s="7">
        <v>3.0950000000000002</v>
      </c>
      <c r="G342" s="7">
        <v>2.5125000000000002</v>
      </c>
      <c r="H342" s="7">
        <v>2.9685000000000001</v>
      </c>
      <c r="I342" s="4">
        <v>0.1837</v>
      </c>
      <c r="J342" s="2">
        <v>2.7721</v>
      </c>
      <c r="K342" s="1" t="s">
        <v>619</v>
      </c>
      <c r="L342" s="4">
        <v>0.20915619389587101</v>
      </c>
      <c r="M342"/>
      <c r="N342"/>
      <c r="O342"/>
      <c r="P342"/>
      <c r="Q342"/>
    </row>
    <row r="343" spans="1:17" x14ac:dyDescent="0.3">
      <c r="A343" s="1" t="s">
        <v>288</v>
      </c>
      <c r="B343" s="1" t="s">
        <v>77</v>
      </c>
      <c r="C343">
        <v>1971</v>
      </c>
      <c r="D343" s="7">
        <v>3.1301999999999999</v>
      </c>
      <c r="E343" s="7">
        <v>2.9788000000000001</v>
      </c>
      <c r="F343" s="7">
        <v>3.4874999999999998</v>
      </c>
      <c r="G343" s="7">
        <v>2.8774999999999999</v>
      </c>
      <c r="H343" s="7">
        <v>3.1585000000000001</v>
      </c>
      <c r="I343" s="4">
        <v>6.4000000000000001E-2</v>
      </c>
      <c r="J343" s="2">
        <v>3.1255999999999999</v>
      </c>
      <c r="K343" s="1" t="s">
        <v>619</v>
      </c>
      <c r="L343" s="4">
        <v>0.19487572679062001</v>
      </c>
      <c r="M343"/>
      <c r="N343"/>
      <c r="O343"/>
      <c r="P343"/>
      <c r="Q343"/>
    </row>
    <row r="344" spans="1:17" x14ac:dyDescent="0.3">
      <c r="A344" s="1" t="s">
        <v>287</v>
      </c>
      <c r="B344" s="1" t="s">
        <v>77</v>
      </c>
      <c r="C344">
        <v>1972</v>
      </c>
      <c r="D344" s="7">
        <v>3.4826999999999999</v>
      </c>
      <c r="E344" s="7">
        <v>3.1162999999999998</v>
      </c>
      <c r="F344" s="7">
        <v>4.3550000000000004</v>
      </c>
      <c r="G344" s="7">
        <v>3.07</v>
      </c>
      <c r="H344" s="7">
        <v>4.2645</v>
      </c>
      <c r="I344" s="4">
        <v>0.35020000000000001</v>
      </c>
      <c r="J344" s="2">
        <v>3.7014</v>
      </c>
      <c r="K344" s="1" t="s">
        <v>619</v>
      </c>
      <c r="L344" s="4">
        <v>0.368966606368622</v>
      </c>
      <c r="M344"/>
      <c r="N344"/>
      <c r="O344"/>
      <c r="P344"/>
      <c r="Q344"/>
    </row>
    <row r="345" spans="1:17" x14ac:dyDescent="0.3">
      <c r="A345" s="1" t="s">
        <v>286</v>
      </c>
      <c r="B345" s="1" t="s">
        <v>77</v>
      </c>
      <c r="C345">
        <v>1973</v>
      </c>
      <c r="D345" s="7">
        <v>6.9558999999999997</v>
      </c>
      <c r="E345" s="7">
        <v>4.2300000000000004</v>
      </c>
      <c r="F345" s="7">
        <v>12.11</v>
      </c>
      <c r="G345" s="7">
        <v>4.22</v>
      </c>
      <c r="H345" s="7">
        <v>5.8470000000000004</v>
      </c>
      <c r="I345" s="4">
        <v>0.37109999999999999</v>
      </c>
      <c r="J345" s="2">
        <v>6.6017999999999999</v>
      </c>
      <c r="K345" s="1" t="s">
        <v>619</v>
      </c>
      <c r="L345" s="4">
        <v>1.1342888770683901</v>
      </c>
      <c r="M345"/>
      <c r="N345"/>
      <c r="O345"/>
      <c r="P345"/>
      <c r="Q345"/>
    </row>
    <row r="346" spans="1:17" x14ac:dyDescent="0.3">
      <c r="A346" s="1" t="s">
        <v>285</v>
      </c>
      <c r="B346" s="1" t="s">
        <v>77</v>
      </c>
      <c r="C346">
        <v>1974</v>
      </c>
      <c r="D346" s="7">
        <v>6.8537999999999997</v>
      </c>
      <c r="E346" s="7">
        <v>5.9450000000000003</v>
      </c>
      <c r="F346" s="7">
        <v>9.49</v>
      </c>
      <c r="G346" s="7">
        <v>5.23</v>
      </c>
      <c r="H346" s="7">
        <v>7.1130000000000004</v>
      </c>
      <c r="I346" s="4">
        <v>0.2165</v>
      </c>
      <c r="J346" s="2">
        <v>6.9444999999999997</v>
      </c>
      <c r="K346" s="1" t="s">
        <v>619</v>
      </c>
      <c r="L346" s="4">
        <v>0.62155300709095695</v>
      </c>
      <c r="M346"/>
      <c r="N346"/>
      <c r="O346"/>
      <c r="P346"/>
      <c r="Q346"/>
    </row>
    <row r="347" spans="1:17" x14ac:dyDescent="0.3">
      <c r="A347" s="1" t="s">
        <v>284</v>
      </c>
      <c r="B347" s="1" t="s">
        <v>77</v>
      </c>
      <c r="C347">
        <v>1975</v>
      </c>
      <c r="D347" s="7">
        <v>5.4898999999999996</v>
      </c>
      <c r="E347" s="7">
        <v>7.2350000000000003</v>
      </c>
      <c r="F347" s="7">
        <v>7.2350000000000003</v>
      </c>
      <c r="G347" s="7">
        <v>4.4524999999999997</v>
      </c>
      <c r="H347" s="7">
        <v>4.5694999999999997</v>
      </c>
      <c r="I347" s="4">
        <v>-0.35759999999999997</v>
      </c>
      <c r="J347" s="2">
        <v>5.8730000000000002</v>
      </c>
      <c r="K347" s="1" t="s">
        <v>620</v>
      </c>
      <c r="L347" s="4">
        <v>0.50683983314814496</v>
      </c>
      <c r="M347"/>
      <c r="N347"/>
      <c r="O347"/>
      <c r="P347"/>
      <c r="Q347"/>
    </row>
    <row r="348" spans="1:17" x14ac:dyDescent="0.3">
      <c r="A348" s="1" t="s">
        <v>283</v>
      </c>
      <c r="B348" s="1" t="s">
        <v>77</v>
      </c>
      <c r="C348">
        <v>1976</v>
      </c>
      <c r="D348" s="7">
        <v>5.9149000000000003</v>
      </c>
      <c r="E348" s="7">
        <v>4.58</v>
      </c>
      <c r="F348" s="7">
        <v>7.4550000000000001</v>
      </c>
      <c r="G348" s="7">
        <v>4.5674999999999999</v>
      </c>
      <c r="H348" s="7">
        <v>7.1029999999999998</v>
      </c>
      <c r="I348" s="4">
        <v>0.5544</v>
      </c>
      <c r="J348" s="2">
        <v>5.9264000000000001</v>
      </c>
      <c r="K348" s="1" t="s">
        <v>619</v>
      </c>
      <c r="L348" s="4">
        <v>0.48817393362525102</v>
      </c>
      <c r="M348"/>
      <c r="N348"/>
      <c r="O348"/>
      <c r="P348"/>
      <c r="Q348"/>
    </row>
    <row r="349" spans="1:17" x14ac:dyDescent="0.3">
      <c r="A349" s="1" t="s">
        <v>282</v>
      </c>
      <c r="B349" s="1" t="s">
        <v>77</v>
      </c>
      <c r="C349">
        <v>1977</v>
      </c>
      <c r="D349" s="7">
        <v>7.0659999999999998</v>
      </c>
      <c r="E349" s="7">
        <v>7.0425000000000004</v>
      </c>
      <c r="F349" s="7">
        <v>10.61</v>
      </c>
      <c r="G349" s="7">
        <v>5.0525000000000002</v>
      </c>
      <c r="H349" s="7">
        <v>6.0194999999999999</v>
      </c>
      <c r="I349" s="4">
        <v>-0.1525</v>
      </c>
      <c r="J349" s="2">
        <v>7.1810999999999998</v>
      </c>
      <c r="K349" s="1" t="s">
        <v>620</v>
      </c>
      <c r="L349" s="4">
        <v>0.78651287857344998</v>
      </c>
      <c r="M349"/>
      <c r="N349"/>
      <c r="O349"/>
      <c r="P349"/>
      <c r="Q349"/>
    </row>
    <row r="350" spans="1:17" x14ac:dyDescent="0.3">
      <c r="A350" s="1" t="s">
        <v>281</v>
      </c>
      <c r="B350" s="1" t="s">
        <v>77</v>
      </c>
      <c r="C350">
        <v>1978</v>
      </c>
      <c r="D350" s="7">
        <v>6.6033999999999997</v>
      </c>
      <c r="E350" s="7">
        <v>5.9675000000000002</v>
      </c>
      <c r="F350" s="7">
        <v>7.4524999999999997</v>
      </c>
      <c r="G350" s="7">
        <v>5.585</v>
      </c>
      <c r="H350" s="7">
        <v>6.8769999999999998</v>
      </c>
      <c r="I350" s="4">
        <v>0.14249999999999999</v>
      </c>
      <c r="J350" s="2">
        <v>6.4705000000000004</v>
      </c>
      <c r="K350" s="1" t="s">
        <v>619</v>
      </c>
      <c r="L350" s="4">
        <v>0.28280885604385603</v>
      </c>
      <c r="M350"/>
      <c r="N350"/>
      <c r="O350"/>
      <c r="P350"/>
      <c r="Q350"/>
    </row>
    <row r="351" spans="1:17" x14ac:dyDescent="0.3">
      <c r="A351" s="1" t="s">
        <v>280</v>
      </c>
      <c r="B351" s="1" t="s">
        <v>77</v>
      </c>
      <c r="C351">
        <v>1979</v>
      </c>
      <c r="D351" s="7">
        <v>7.2355</v>
      </c>
      <c r="E351" s="7">
        <v>6.8825000000000003</v>
      </c>
      <c r="F351" s="7">
        <v>8.58</v>
      </c>
      <c r="G351" s="7">
        <v>6.367</v>
      </c>
      <c r="H351" s="7">
        <v>6.6005000000000003</v>
      </c>
      <c r="I351" s="4">
        <v>-4.02E-2</v>
      </c>
      <c r="J351" s="2">
        <v>7.1074999999999999</v>
      </c>
      <c r="K351" s="1" t="s">
        <v>620</v>
      </c>
      <c r="L351" s="4">
        <v>0.30585308548130702</v>
      </c>
      <c r="M351"/>
      <c r="N351"/>
      <c r="O351"/>
      <c r="P351"/>
      <c r="Q351"/>
    </row>
    <row r="352" spans="1:17" x14ac:dyDescent="0.3">
      <c r="A352" s="1" t="s">
        <v>279</v>
      </c>
      <c r="B352" s="1" t="s">
        <v>77</v>
      </c>
      <c r="C352">
        <v>1980</v>
      </c>
      <c r="D352" s="7">
        <v>7.2823000000000002</v>
      </c>
      <c r="E352" s="7">
        <v>6.6349999999999998</v>
      </c>
      <c r="F352" s="7">
        <v>9.5449999999999999</v>
      </c>
      <c r="G352" s="7">
        <v>5.7949999999999999</v>
      </c>
      <c r="H352" s="7">
        <v>8.125</v>
      </c>
      <c r="I352" s="4">
        <v>0.23100000000000001</v>
      </c>
      <c r="J352" s="2">
        <v>7.5250000000000004</v>
      </c>
      <c r="K352" s="1" t="s">
        <v>619</v>
      </c>
      <c r="L352" s="4">
        <v>0.51494720074701705</v>
      </c>
      <c r="M352"/>
      <c r="N352"/>
      <c r="O352"/>
      <c r="P352"/>
      <c r="Q352"/>
    </row>
    <row r="353" spans="1:17" x14ac:dyDescent="0.3">
      <c r="A353" s="1" t="s">
        <v>278</v>
      </c>
      <c r="B353" s="1" t="s">
        <v>77</v>
      </c>
      <c r="C353">
        <v>1981</v>
      </c>
      <c r="D353" s="7">
        <v>7.1668000000000003</v>
      </c>
      <c r="E353" s="7">
        <v>8.4049999999999994</v>
      </c>
      <c r="F353" s="7">
        <v>8.4275000000000002</v>
      </c>
      <c r="G353" s="7">
        <v>6.0674999999999999</v>
      </c>
      <c r="H353" s="7">
        <v>6.2309999999999999</v>
      </c>
      <c r="I353" s="4">
        <v>-0.2331</v>
      </c>
      <c r="J353" s="2">
        <v>7.2827999999999999</v>
      </c>
      <c r="K353" s="1" t="s">
        <v>620</v>
      </c>
      <c r="L353" s="4">
        <v>0.32929619914048103</v>
      </c>
      <c r="M353"/>
      <c r="N353"/>
      <c r="O353"/>
      <c r="P353"/>
      <c r="Q353"/>
    </row>
    <row r="354" spans="1:17" x14ac:dyDescent="0.3">
      <c r="A354" s="1" t="s">
        <v>277</v>
      </c>
      <c r="B354" s="1" t="s">
        <v>77</v>
      </c>
      <c r="C354">
        <v>1982</v>
      </c>
      <c r="D354" s="7">
        <v>6.0457999999999998</v>
      </c>
      <c r="E354" s="7">
        <v>6.3</v>
      </c>
      <c r="F354" s="7">
        <v>6.7249999999999996</v>
      </c>
      <c r="G354" s="7">
        <v>5.1825000000000001</v>
      </c>
      <c r="H354" s="7">
        <v>5.7149999999999999</v>
      </c>
      <c r="I354" s="4">
        <v>-8.2799999999999999E-2</v>
      </c>
      <c r="J354" s="2">
        <v>5.9805999999999999</v>
      </c>
      <c r="K354" s="1" t="s">
        <v>620</v>
      </c>
      <c r="L354" s="4">
        <v>0.25513579675146397</v>
      </c>
      <c r="M354"/>
      <c r="N354"/>
      <c r="O354"/>
      <c r="P354"/>
      <c r="Q354"/>
    </row>
    <row r="355" spans="1:17" x14ac:dyDescent="0.3">
      <c r="A355" s="1" t="s">
        <v>276</v>
      </c>
      <c r="B355" s="1" t="s">
        <v>77</v>
      </c>
      <c r="C355">
        <v>1983</v>
      </c>
      <c r="D355" s="7">
        <v>7.1249000000000002</v>
      </c>
      <c r="E355" s="7">
        <v>5.7249999999999996</v>
      </c>
      <c r="F355" s="7">
        <v>9.48</v>
      </c>
      <c r="G355" s="7">
        <v>5.7149999999999999</v>
      </c>
      <c r="H355" s="7">
        <v>8.2910000000000004</v>
      </c>
      <c r="I355" s="4">
        <v>0.45069999999999999</v>
      </c>
      <c r="J355" s="2">
        <v>7.3028000000000004</v>
      </c>
      <c r="K355" s="1" t="s">
        <v>619</v>
      </c>
      <c r="L355" s="4">
        <v>0.528428469171497</v>
      </c>
      <c r="M355"/>
      <c r="N355"/>
      <c r="O355"/>
      <c r="P355"/>
      <c r="Q355"/>
    </row>
    <row r="356" spans="1:17" x14ac:dyDescent="0.3">
      <c r="A356" s="1" t="s">
        <v>275</v>
      </c>
      <c r="B356" s="1" t="s">
        <v>77</v>
      </c>
      <c r="C356">
        <v>1984</v>
      </c>
      <c r="D356" s="7">
        <v>7.0393999999999997</v>
      </c>
      <c r="E356" s="7">
        <v>8.0274999999999999</v>
      </c>
      <c r="F356" s="7">
        <v>8.9324999999999992</v>
      </c>
      <c r="G356" s="7">
        <v>5.8129999999999997</v>
      </c>
      <c r="H356" s="7">
        <v>5.8265000000000002</v>
      </c>
      <c r="I356" s="4">
        <v>-0.29730000000000001</v>
      </c>
      <c r="J356" s="2">
        <v>7.1498999999999997</v>
      </c>
      <c r="K356" s="1" t="s">
        <v>620</v>
      </c>
      <c r="L356" s="4">
        <v>0.44314856379805101</v>
      </c>
      <c r="M356"/>
      <c r="N356"/>
      <c r="O356"/>
      <c r="P356"/>
      <c r="Q356"/>
    </row>
    <row r="357" spans="1:17" x14ac:dyDescent="0.3">
      <c r="A357" s="1" t="s">
        <v>274</v>
      </c>
      <c r="B357" s="1" t="s">
        <v>77</v>
      </c>
      <c r="C357">
        <v>1985</v>
      </c>
      <c r="D357" s="7">
        <v>5.5309999999999997</v>
      </c>
      <c r="E357" s="7">
        <v>5.8174999999999999</v>
      </c>
      <c r="F357" s="7">
        <v>6.09</v>
      </c>
      <c r="G357" s="7">
        <v>4.8475000000000001</v>
      </c>
      <c r="H357" s="7">
        <v>5.4044999999999996</v>
      </c>
      <c r="I357" s="4">
        <v>-7.2400000000000006E-2</v>
      </c>
      <c r="J357" s="2">
        <v>5.5399000000000003</v>
      </c>
      <c r="K357" s="1" t="s">
        <v>620</v>
      </c>
      <c r="L357" s="4">
        <v>0.22464292171397601</v>
      </c>
      <c r="M357"/>
      <c r="N357"/>
      <c r="O357"/>
      <c r="P357"/>
      <c r="Q357"/>
    </row>
    <row r="358" spans="1:17" x14ac:dyDescent="0.3">
      <c r="A358" s="1" t="s">
        <v>273</v>
      </c>
      <c r="B358" s="1" t="s">
        <v>77</v>
      </c>
      <c r="C358">
        <v>1986</v>
      </c>
      <c r="D358" s="7">
        <v>5.1158999999999999</v>
      </c>
      <c r="E358" s="7">
        <v>5.4850000000000003</v>
      </c>
      <c r="F358" s="7">
        <v>5.5449999999999999</v>
      </c>
      <c r="G358" s="7">
        <v>4.6950000000000003</v>
      </c>
      <c r="H358" s="7">
        <v>4.9394999999999998</v>
      </c>
      <c r="I358" s="4">
        <v>-8.5999999999999993E-2</v>
      </c>
      <c r="J358" s="2">
        <v>5.1661000000000001</v>
      </c>
      <c r="K358" s="1" t="s">
        <v>620</v>
      </c>
      <c r="L358" s="4">
        <v>0.166148673742645</v>
      </c>
      <c r="M358"/>
      <c r="N358"/>
      <c r="O358"/>
      <c r="P358"/>
      <c r="Q358"/>
    </row>
    <row r="359" spans="1:17" x14ac:dyDescent="0.3">
      <c r="A359" s="1" t="s">
        <v>272</v>
      </c>
      <c r="B359" s="1" t="s">
        <v>77</v>
      </c>
      <c r="C359">
        <v>1987</v>
      </c>
      <c r="D359" s="7">
        <v>5.3193000000000001</v>
      </c>
      <c r="E359" s="7">
        <v>4.9175000000000004</v>
      </c>
      <c r="F359" s="7">
        <v>6.1319999999999997</v>
      </c>
      <c r="G359" s="7">
        <v>4.8079999999999998</v>
      </c>
      <c r="H359" s="7">
        <v>6.1319999999999997</v>
      </c>
      <c r="I359" s="4">
        <v>0.2414</v>
      </c>
      <c r="J359" s="2">
        <v>5.4973999999999998</v>
      </c>
      <c r="K359" s="1" t="s">
        <v>619</v>
      </c>
      <c r="L359" s="4">
        <v>0.24890493109995701</v>
      </c>
      <c r="M359"/>
      <c r="N359"/>
      <c r="O359"/>
      <c r="P359"/>
      <c r="Q359"/>
    </row>
    <row r="360" spans="1:17" x14ac:dyDescent="0.3">
      <c r="A360" s="1" t="s">
        <v>271</v>
      </c>
      <c r="B360" s="1" t="s">
        <v>77</v>
      </c>
      <c r="C360">
        <v>1988</v>
      </c>
      <c r="D360" s="7">
        <v>7.6539000000000001</v>
      </c>
      <c r="E360" s="7">
        <v>6.25</v>
      </c>
      <c r="F360" s="7">
        <v>10.586</v>
      </c>
      <c r="G360" s="7">
        <v>5.97</v>
      </c>
      <c r="H360" s="7">
        <v>8.1635000000000009</v>
      </c>
      <c r="I360" s="4">
        <v>0.33129999999999998</v>
      </c>
      <c r="J360" s="2">
        <v>7.7423999999999999</v>
      </c>
      <c r="K360" s="1" t="s">
        <v>619</v>
      </c>
      <c r="L360" s="4">
        <v>0.60309123453402802</v>
      </c>
      <c r="M360"/>
      <c r="N360"/>
      <c r="O360"/>
      <c r="P360"/>
      <c r="Q360"/>
    </row>
    <row r="361" spans="1:17" x14ac:dyDescent="0.3">
      <c r="A361" s="1" t="s">
        <v>270</v>
      </c>
      <c r="B361" s="1" t="s">
        <v>77</v>
      </c>
      <c r="C361">
        <v>1989</v>
      </c>
      <c r="D361" s="7">
        <v>6.7076000000000002</v>
      </c>
      <c r="E361" s="7">
        <v>8.1449999999999996</v>
      </c>
      <c r="F361" s="7">
        <v>8.2949999999999999</v>
      </c>
      <c r="G361" s="7">
        <v>5.4424999999999999</v>
      </c>
      <c r="H361" s="7">
        <v>5.7939999999999996</v>
      </c>
      <c r="I361" s="4">
        <v>-0.2903</v>
      </c>
      <c r="J361" s="2">
        <v>6.9191000000000003</v>
      </c>
      <c r="K361" s="1" t="s">
        <v>620</v>
      </c>
      <c r="L361" s="4">
        <v>0.42526387977816199</v>
      </c>
      <c r="M361"/>
      <c r="N361"/>
      <c r="O361"/>
      <c r="P361"/>
      <c r="Q361"/>
    </row>
    <row r="362" spans="1:17" x14ac:dyDescent="0.3">
      <c r="A362" s="1" t="s">
        <v>269</v>
      </c>
      <c r="B362" s="1" t="s">
        <v>77</v>
      </c>
      <c r="C362">
        <v>1990</v>
      </c>
      <c r="D362" s="7">
        <v>5.9958999999999998</v>
      </c>
      <c r="E362" s="7">
        <v>5.7575000000000003</v>
      </c>
      <c r="F362" s="7">
        <v>6.6050000000000004</v>
      </c>
      <c r="G362" s="7">
        <v>5.5824999999999996</v>
      </c>
      <c r="H362" s="7">
        <v>5.7175000000000002</v>
      </c>
      <c r="I362" s="4">
        <v>-1.32E-2</v>
      </c>
      <c r="J362" s="2">
        <v>5.9156000000000004</v>
      </c>
      <c r="K362" s="1" t="s">
        <v>620</v>
      </c>
      <c r="L362" s="4">
        <v>0.17053319768508499</v>
      </c>
      <c r="M362"/>
      <c r="N362"/>
      <c r="O362"/>
      <c r="P362"/>
      <c r="Q362"/>
    </row>
    <row r="363" spans="1:17" x14ac:dyDescent="0.3">
      <c r="A363" s="1" t="s">
        <v>268</v>
      </c>
      <c r="B363" s="1" t="s">
        <v>77</v>
      </c>
      <c r="C363">
        <v>1991</v>
      </c>
      <c r="D363" s="7">
        <v>5.7057000000000002</v>
      </c>
      <c r="E363" s="7">
        <v>5.6725000000000003</v>
      </c>
      <c r="F363" s="7">
        <v>6.4275000000000002</v>
      </c>
      <c r="G363" s="7">
        <v>5.1775000000000002</v>
      </c>
      <c r="H363" s="7">
        <v>5.5655000000000001</v>
      </c>
      <c r="I363" s="4">
        <v>-2.6599999999999999E-2</v>
      </c>
      <c r="J363" s="2">
        <v>5.7107999999999999</v>
      </c>
      <c r="K363" s="1" t="s">
        <v>620</v>
      </c>
      <c r="L363" s="4">
        <v>0.21907916644758799</v>
      </c>
      <c r="M363"/>
      <c r="N363"/>
      <c r="O363"/>
      <c r="P363"/>
      <c r="Q363"/>
    </row>
    <row r="364" spans="1:17" x14ac:dyDescent="0.3">
      <c r="A364" s="1" t="s">
        <v>267</v>
      </c>
      <c r="B364" s="1" t="s">
        <v>77</v>
      </c>
      <c r="C364">
        <v>1992</v>
      </c>
      <c r="D364" s="7">
        <v>5.7153</v>
      </c>
      <c r="E364" s="7">
        <v>5.5025000000000004</v>
      </c>
      <c r="F364" s="7">
        <v>6.3</v>
      </c>
      <c r="G364" s="7">
        <v>5.2725</v>
      </c>
      <c r="H364" s="7">
        <v>5.7314999999999996</v>
      </c>
      <c r="I364" s="4">
        <v>2.98E-2</v>
      </c>
      <c r="J364" s="2">
        <v>5.7016</v>
      </c>
      <c r="K364" s="1" t="s">
        <v>619</v>
      </c>
      <c r="L364" s="4">
        <v>0.17978058894546201</v>
      </c>
      <c r="M364"/>
      <c r="N364"/>
      <c r="O364"/>
      <c r="P364"/>
      <c r="Q364"/>
    </row>
    <row r="365" spans="1:17" x14ac:dyDescent="0.3">
      <c r="A365" s="1" t="s">
        <v>266</v>
      </c>
      <c r="B365" s="1" t="s">
        <v>77</v>
      </c>
      <c r="C365">
        <v>1993</v>
      </c>
      <c r="D365" s="7">
        <v>6.2728000000000002</v>
      </c>
      <c r="E365" s="7">
        <v>5.68</v>
      </c>
      <c r="F365" s="7">
        <v>7.3449999999999998</v>
      </c>
      <c r="G365" s="7">
        <v>5.6475</v>
      </c>
      <c r="H365" s="7">
        <v>7.1085000000000003</v>
      </c>
      <c r="I365" s="4">
        <v>0.24030000000000001</v>
      </c>
      <c r="J365" s="2">
        <v>6.4451999999999998</v>
      </c>
      <c r="K365" s="1" t="s">
        <v>619</v>
      </c>
      <c r="L365" s="4">
        <v>0.27061280448922298</v>
      </c>
      <c r="M365"/>
      <c r="N365"/>
      <c r="O365"/>
      <c r="P365"/>
      <c r="Q365"/>
    </row>
    <row r="366" spans="1:17" x14ac:dyDescent="0.3">
      <c r="A366" s="1" t="s">
        <v>265</v>
      </c>
      <c r="B366" s="1" t="s">
        <v>77</v>
      </c>
      <c r="C366">
        <v>1994</v>
      </c>
      <c r="D366" s="7">
        <v>6.2378999999999998</v>
      </c>
      <c r="E366" s="7">
        <v>7.09</v>
      </c>
      <c r="F366" s="7">
        <v>7.3224999999999998</v>
      </c>
      <c r="G366" s="7">
        <v>5.2725</v>
      </c>
      <c r="H366" s="7">
        <v>5.5934999999999997</v>
      </c>
      <c r="I366" s="4">
        <v>-0.21310000000000001</v>
      </c>
      <c r="J366" s="2">
        <v>6.3196000000000003</v>
      </c>
      <c r="K366" s="1" t="s">
        <v>620</v>
      </c>
      <c r="L366" s="4">
        <v>0.32863623976017597</v>
      </c>
      <c r="M366"/>
      <c r="N366"/>
      <c r="O366"/>
      <c r="P366"/>
      <c r="Q366"/>
    </row>
    <row r="367" spans="1:17" x14ac:dyDescent="0.3">
      <c r="A367" s="1" t="s">
        <v>264</v>
      </c>
      <c r="B367" s="1" t="s">
        <v>77</v>
      </c>
      <c r="C367">
        <v>1995</v>
      </c>
      <c r="D367" s="7">
        <v>6.1239999999999997</v>
      </c>
      <c r="E367" s="7">
        <v>5.5774999999999997</v>
      </c>
      <c r="F367" s="7">
        <v>7.4284999999999997</v>
      </c>
      <c r="G367" s="7">
        <v>5.4649999999999999</v>
      </c>
      <c r="H367" s="7">
        <v>7.4284999999999997</v>
      </c>
      <c r="I367" s="4">
        <v>0.3281</v>
      </c>
      <c r="J367" s="2">
        <v>6.4748999999999999</v>
      </c>
      <c r="K367" s="1" t="s">
        <v>619</v>
      </c>
      <c r="L367" s="4">
        <v>0.32062377531025499</v>
      </c>
      <c r="M367"/>
      <c r="N367"/>
      <c r="O367"/>
      <c r="P367"/>
      <c r="Q367"/>
    </row>
    <row r="368" spans="1:17" x14ac:dyDescent="0.3">
      <c r="A368" s="1" t="s">
        <v>263</v>
      </c>
      <c r="B368" s="1" t="s">
        <v>77</v>
      </c>
      <c r="C368">
        <v>1996</v>
      </c>
      <c r="D368" s="7">
        <v>7.5347999999999997</v>
      </c>
      <c r="E368" s="7">
        <v>7.5824999999999996</v>
      </c>
      <c r="F368" s="7">
        <v>8.3825000000000003</v>
      </c>
      <c r="G368" s="7">
        <v>6.665</v>
      </c>
      <c r="H368" s="7">
        <v>6.883</v>
      </c>
      <c r="I368" s="4">
        <v>-7.3400000000000007E-2</v>
      </c>
      <c r="J368" s="2">
        <v>7.3781999999999996</v>
      </c>
      <c r="K368" s="1" t="s">
        <v>620</v>
      </c>
      <c r="L368" s="4">
        <v>0.22794234750756501</v>
      </c>
      <c r="M368"/>
      <c r="N368"/>
      <c r="O368"/>
      <c r="P368"/>
      <c r="Q368"/>
    </row>
    <row r="369" spans="1:17" x14ac:dyDescent="0.3">
      <c r="A369" s="1" t="s">
        <v>262</v>
      </c>
      <c r="B369" s="1" t="s">
        <v>77</v>
      </c>
      <c r="C369">
        <v>1997</v>
      </c>
      <c r="D369" s="7">
        <v>7.4905999999999997</v>
      </c>
      <c r="E369" s="7">
        <v>6.9874999999999998</v>
      </c>
      <c r="F369" s="7">
        <v>8.92</v>
      </c>
      <c r="G369" s="7">
        <v>6.2050000000000001</v>
      </c>
      <c r="H369" s="7">
        <v>6.7510000000000003</v>
      </c>
      <c r="I369" s="4">
        <v>-1.9199999999999998E-2</v>
      </c>
      <c r="J369" s="2">
        <v>7.2159000000000004</v>
      </c>
      <c r="K369" s="1" t="s">
        <v>620</v>
      </c>
      <c r="L369" s="4">
        <v>0.36245427602595298</v>
      </c>
      <c r="M369"/>
      <c r="N369"/>
      <c r="O369"/>
      <c r="P369"/>
      <c r="Q369"/>
    </row>
    <row r="370" spans="1:17" x14ac:dyDescent="0.3">
      <c r="A370" s="1" t="s">
        <v>261</v>
      </c>
      <c r="B370" s="1" t="s">
        <v>77</v>
      </c>
      <c r="C370">
        <v>1998</v>
      </c>
      <c r="D370" s="7">
        <v>6.0476999999999999</v>
      </c>
      <c r="E370" s="7">
        <v>6.6749999999999998</v>
      </c>
      <c r="F370" s="7">
        <v>6.93</v>
      </c>
      <c r="G370" s="7">
        <v>5.1215000000000002</v>
      </c>
      <c r="H370" s="7">
        <v>5.4055</v>
      </c>
      <c r="I370" s="4">
        <v>-0.1993</v>
      </c>
      <c r="J370" s="2">
        <v>6.0330000000000004</v>
      </c>
      <c r="K370" s="1" t="s">
        <v>620</v>
      </c>
      <c r="L370" s="4">
        <v>0.29903930419829</v>
      </c>
      <c r="M370"/>
      <c r="N370"/>
      <c r="O370"/>
      <c r="P370"/>
      <c r="Q370"/>
    </row>
    <row r="371" spans="1:17" x14ac:dyDescent="0.3">
      <c r="A371" s="1" t="s">
        <v>260</v>
      </c>
      <c r="B371" s="1" t="s">
        <v>77</v>
      </c>
      <c r="C371">
        <v>1999</v>
      </c>
      <c r="D371" s="7">
        <v>4.7751999999999999</v>
      </c>
      <c r="E371" s="7">
        <v>5.46</v>
      </c>
      <c r="F371" s="7">
        <v>5.55</v>
      </c>
      <c r="G371" s="7">
        <v>4.0999999999999996</v>
      </c>
      <c r="H371" s="7">
        <v>4.6814999999999998</v>
      </c>
      <c r="I371" s="4">
        <v>-0.13389999999999999</v>
      </c>
      <c r="J371" s="2">
        <v>4.9478999999999997</v>
      </c>
      <c r="K371" s="1" t="s">
        <v>620</v>
      </c>
      <c r="L371" s="4">
        <v>0.30365220304908702</v>
      </c>
      <c r="M371"/>
      <c r="N371"/>
      <c r="O371"/>
      <c r="P371"/>
      <c r="Q371"/>
    </row>
    <row r="372" spans="1:17" x14ac:dyDescent="0.3">
      <c r="A372" s="1" t="s">
        <v>259</v>
      </c>
      <c r="B372" s="1" t="s">
        <v>77</v>
      </c>
      <c r="C372">
        <v>2000</v>
      </c>
      <c r="D372" s="7">
        <v>5.0033000000000003</v>
      </c>
      <c r="E372" s="7">
        <v>4.6449999999999996</v>
      </c>
      <c r="F372" s="7">
        <v>5.7225000000000001</v>
      </c>
      <c r="G372" s="7">
        <v>4.3724999999999996</v>
      </c>
      <c r="H372" s="7">
        <v>5.077</v>
      </c>
      <c r="I372" s="4">
        <v>8.4500000000000006E-2</v>
      </c>
      <c r="J372" s="2">
        <v>4.9542000000000002</v>
      </c>
      <c r="K372" s="1" t="s">
        <v>619</v>
      </c>
      <c r="L372" s="4">
        <v>0.26982191753442702</v>
      </c>
      <c r="M372"/>
      <c r="N372"/>
      <c r="O372"/>
      <c r="P372"/>
      <c r="Q372"/>
    </row>
    <row r="373" spans="1:17" x14ac:dyDescent="0.3">
      <c r="A373" s="1" t="s">
        <v>258</v>
      </c>
      <c r="B373" s="1" t="s">
        <v>77</v>
      </c>
      <c r="C373">
        <v>2001</v>
      </c>
      <c r="D373" s="7">
        <v>4.5964999999999998</v>
      </c>
      <c r="E373" s="7">
        <v>5.0449999999999999</v>
      </c>
      <c r="F373" s="7">
        <v>5.28</v>
      </c>
      <c r="G373" s="7">
        <v>4.2074999999999996</v>
      </c>
      <c r="H373" s="7">
        <v>4.22</v>
      </c>
      <c r="I373" s="4">
        <v>-0.16880000000000001</v>
      </c>
      <c r="J373" s="2">
        <v>4.6881000000000004</v>
      </c>
      <c r="K373" s="1" t="s">
        <v>620</v>
      </c>
      <c r="L373" s="4">
        <v>0.23332970738605499</v>
      </c>
      <c r="M373"/>
      <c r="N373"/>
      <c r="O373"/>
      <c r="P373"/>
      <c r="Q373"/>
    </row>
    <row r="374" spans="1:17" x14ac:dyDescent="0.3">
      <c r="A374" s="1" t="s">
        <v>257</v>
      </c>
      <c r="B374" s="1" t="s">
        <v>77</v>
      </c>
      <c r="C374">
        <v>2002</v>
      </c>
      <c r="D374" s="7">
        <v>5.1315999999999997</v>
      </c>
      <c r="E374" s="7">
        <v>4.1825000000000001</v>
      </c>
      <c r="F374" s="7">
        <v>5.94</v>
      </c>
      <c r="G374" s="7">
        <v>4.1825000000000001</v>
      </c>
      <c r="H374" s="7">
        <v>5.6589999999999998</v>
      </c>
      <c r="I374" s="4">
        <v>0.34100000000000003</v>
      </c>
      <c r="J374" s="2">
        <v>4.9909999999999997</v>
      </c>
      <c r="K374" s="1" t="s">
        <v>619</v>
      </c>
      <c r="L374" s="4">
        <v>0.34248577441733602</v>
      </c>
      <c r="M374"/>
      <c r="N374"/>
      <c r="O374"/>
      <c r="P374"/>
      <c r="Q374"/>
    </row>
    <row r="375" spans="1:17" x14ac:dyDescent="0.3">
      <c r="A375" s="1" t="s">
        <v>256</v>
      </c>
      <c r="B375" s="1" t="s">
        <v>77</v>
      </c>
      <c r="C375">
        <v>2003</v>
      </c>
      <c r="D375" s="7">
        <v>6.3339999999999996</v>
      </c>
      <c r="E375" s="7">
        <v>5.81</v>
      </c>
      <c r="F375" s="7">
        <v>8.0139999999999993</v>
      </c>
      <c r="G375" s="7">
        <v>5.1924999999999999</v>
      </c>
      <c r="H375" s="7">
        <v>7.93</v>
      </c>
      <c r="I375" s="4">
        <v>0.40129999999999999</v>
      </c>
      <c r="J375" s="2">
        <v>6.7366000000000001</v>
      </c>
      <c r="K375" s="1" t="s">
        <v>619</v>
      </c>
      <c r="L375" s="4">
        <v>0.44545311019892597</v>
      </c>
      <c r="M375"/>
      <c r="N375"/>
      <c r="O375"/>
      <c r="P375"/>
      <c r="Q375"/>
    </row>
    <row r="376" spans="1:17" x14ac:dyDescent="0.3">
      <c r="A376" s="1" t="s">
        <v>255</v>
      </c>
      <c r="B376" s="1" t="s">
        <v>77</v>
      </c>
      <c r="C376">
        <v>2004</v>
      </c>
      <c r="D376" s="7">
        <v>7.4371</v>
      </c>
      <c r="E376" s="7">
        <v>7.9824999999999999</v>
      </c>
      <c r="F376" s="7">
        <v>10.557499999999999</v>
      </c>
      <c r="G376" s="7">
        <v>5.0525000000000002</v>
      </c>
      <c r="H376" s="7">
        <v>5.4734999999999996</v>
      </c>
      <c r="I376" s="4">
        <v>-0.30980000000000002</v>
      </c>
      <c r="J376" s="2">
        <v>7.2664999999999997</v>
      </c>
      <c r="K376" s="1" t="s">
        <v>620</v>
      </c>
      <c r="L376" s="4">
        <v>0.74020787672614297</v>
      </c>
      <c r="M376"/>
      <c r="N376"/>
      <c r="O376"/>
      <c r="P376"/>
      <c r="Q376"/>
    </row>
    <row r="377" spans="1:17" x14ac:dyDescent="0.3">
      <c r="A377" s="1" t="s">
        <v>254</v>
      </c>
      <c r="B377" s="1" t="s">
        <v>77</v>
      </c>
      <c r="C377">
        <v>2005</v>
      </c>
      <c r="D377" s="7">
        <v>6.0987</v>
      </c>
      <c r="E377" s="7">
        <v>5.3550000000000004</v>
      </c>
      <c r="F377" s="7">
        <v>7.4450000000000003</v>
      </c>
      <c r="G377" s="7">
        <v>4.9950000000000001</v>
      </c>
      <c r="H377" s="7">
        <v>6.1120000000000001</v>
      </c>
      <c r="I377" s="4">
        <v>0.1167</v>
      </c>
      <c r="J377" s="2">
        <v>5.9767999999999999</v>
      </c>
      <c r="K377" s="1" t="s">
        <v>619</v>
      </c>
      <c r="L377" s="4">
        <v>0.40172495777788703</v>
      </c>
      <c r="M377"/>
      <c r="N377"/>
      <c r="O377"/>
      <c r="P377"/>
      <c r="Q377"/>
    </row>
    <row r="378" spans="1:17" x14ac:dyDescent="0.3">
      <c r="A378" s="1" t="s">
        <v>253</v>
      </c>
      <c r="B378" s="1" t="s">
        <v>77</v>
      </c>
      <c r="C378">
        <v>2006</v>
      </c>
      <c r="D378" s="7">
        <v>5.9493999999999998</v>
      </c>
      <c r="E378" s="7">
        <v>6.2850000000000001</v>
      </c>
      <c r="F378" s="7">
        <v>6.9450000000000003</v>
      </c>
      <c r="G378" s="7">
        <v>5.3849999999999998</v>
      </c>
      <c r="H378" s="7">
        <v>6.9450000000000003</v>
      </c>
      <c r="I378" s="4">
        <v>0.1363</v>
      </c>
      <c r="J378" s="2">
        <v>6.39</v>
      </c>
      <c r="K378" s="1" t="s">
        <v>619</v>
      </c>
      <c r="L378" s="4">
        <v>0.26221131542676601</v>
      </c>
      <c r="M378"/>
      <c r="N378"/>
      <c r="O378"/>
      <c r="P378"/>
      <c r="Q378"/>
    </row>
    <row r="379" spans="1:17" x14ac:dyDescent="0.3">
      <c r="A379" s="1" t="s">
        <v>252</v>
      </c>
      <c r="B379" s="1" t="s">
        <v>77</v>
      </c>
      <c r="C379">
        <v>2007</v>
      </c>
      <c r="D379" s="7">
        <v>8.6682000000000006</v>
      </c>
      <c r="E379" s="7">
        <v>6.9725000000000001</v>
      </c>
      <c r="F379" s="7">
        <v>12.244999999999999</v>
      </c>
      <c r="G379" s="7">
        <v>6.6449999999999996</v>
      </c>
      <c r="H379" s="7">
        <v>12.112</v>
      </c>
      <c r="I379" s="4">
        <v>0.74399999999999999</v>
      </c>
      <c r="J379" s="2">
        <v>9.4936000000000007</v>
      </c>
      <c r="K379" s="1" t="s">
        <v>619</v>
      </c>
      <c r="L379" s="4">
        <v>0.64603954684940401</v>
      </c>
      <c r="M379"/>
      <c r="N379"/>
      <c r="O379"/>
      <c r="P379"/>
      <c r="Q379"/>
    </row>
    <row r="380" spans="1:17" x14ac:dyDescent="0.3">
      <c r="A380" s="1" t="s">
        <v>251</v>
      </c>
      <c r="B380" s="1" t="s">
        <v>77</v>
      </c>
      <c r="C380">
        <v>2008</v>
      </c>
      <c r="D380" s="7">
        <v>12.319900000000001</v>
      </c>
      <c r="E380" s="7">
        <v>12.487500000000001</v>
      </c>
      <c r="F380" s="7">
        <v>16.489999999999998</v>
      </c>
      <c r="G380" s="7">
        <v>7.835</v>
      </c>
      <c r="H380" s="7">
        <v>9.7844999999999995</v>
      </c>
      <c r="I380" s="4">
        <v>-0.19220000000000001</v>
      </c>
      <c r="J380" s="2">
        <v>11.6492</v>
      </c>
      <c r="K380" s="1" t="s">
        <v>620</v>
      </c>
      <c r="L380" s="4">
        <v>0.70252193605467605</v>
      </c>
      <c r="M380"/>
      <c r="N380"/>
      <c r="O380"/>
      <c r="P380"/>
      <c r="Q380"/>
    </row>
    <row r="381" spans="1:17" x14ac:dyDescent="0.3">
      <c r="A381" s="1" t="s">
        <v>250</v>
      </c>
      <c r="B381" s="1" t="s">
        <v>77</v>
      </c>
      <c r="C381">
        <v>2009</v>
      </c>
      <c r="D381" s="7">
        <v>10.195600000000001</v>
      </c>
      <c r="E381" s="7">
        <v>9.77</v>
      </c>
      <c r="F381" s="7">
        <v>12.67</v>
      </c>
      <c r="G381" s="7">
        <v>8.44</v>
      </c>
      <c r="H381" s="7">
        <v>10.467499999999999</v>
      </c>
      <c r="I381" s="4">
        <v>6.9800000000000001E-2</v>
      </c>
      <c r="J381" s="2">
        <v>10.3369</v>
      </c>
      <c r="K381" s="1" t="s">
        <v>619</v>
      </c>
      <c r="L381" s="4">
        <v>0.41488485228922301</v>
      </c>
      <c r="M381"/>
      <c r="N381"/>
      <c r="O381"/>
      <c r="P381"/>
      <c r="Q381"/>
    </row>
    <row r="382" spans="1:17" x14ac:dyDescent="0.3">
      <c r="A382" s="1" t="s">
        <v>249</v>
      </c>
      <c r="B382" s="1" t="s">
        <v>77</v>
      </c>
      <c r="C382">
        <v>2010</v>
      </c>
      <c r="D382" s="7">
        <v>10.488899999999999</v>
      </c>
      <c r="E382" s="7">
        <v>10.58</v>
      </c>
      <c r="F382" s="7">
        <v>14.0115</v>
      </c>
      <c r="G382" s="7">
        <v>9.08</v>
      </c>
      <c r="H382" s="7">
        <v>14.0115</v>
      </c>
      <c r="I382" s="4">
        <v>0.33860000000000001</v>
      </c>
      <c r="J382" s="2">
        <v>11.9208</v>
      </c>
      <c r="K382" s="1" t="s">
        <v>619</v>
      </c>
      <c r="L382" s="4">
        <v>0.47016369686049098</v>
      </c>
      <c r="M382"/>
      <c r="N382"/>
      <c r="O382"/>
      <c r="P382"/>
      <c r="Q382"/>
    </row>
    <row r="383" spans="1:17" x14ac:dyDescent="0.3">
      <c r="A383" s="1" t="s">
        <v>248</v>
      </c>
      <c r="B383" s="1" t="s">
        <v>77</v>
      </c>
      <c r="C383">
        <v>2011</v>
      </c>
      <c r="D383" s="7">
        <v>13.1852</v>
      </c>
      <c r="E383" s="7">
        <v>13.79</v>
      </c>
      <c r="F383" s="7">
        <v>14.558</v>
      </c>
      <c r="G383" s="7">
        <v>11</v>
      </c>
      <c r="H383" s="7">
        <v>12.058999999999999</v>
      </c>
      <c r="I383" s="4">
        <v>-0.13930000000000001</v>
      </c>
      <c r="J383" s="2">
        <v>12.851800000000001</v>
      </c>
      <c r="K383" s="1" t="s">
        <v>620</v>
      </c>
      <c r="L383" s="4">
        <v>0.26984801140672898</v>
      </c>
      <c r="M383"/>
      <c r="N383"/>
      <c r="O383"/>
      <c r="P383"/>
      <c r="Q383"/>
    </row>
    <row r="384" spans="1:17" x14ac:dyDescent="0.3">
      <c r="A384" s="1" t="s">
        <v>247</v>
      </c>
      <c r="B384" s="1" t="s">
        <v>77</v>
      </c>
      <c r="C384">
        <v>2012</v>
      </c>
      <c r="D384" s="7">
        <v>14.6226</v>
      </c>
      <c r="E384" s="7">
        <v>12.275</v>
      </c>
      <c r="F384" s="7">
        <v>17.682500000000001</v>
      </c>
      <c r="G384" s="7">
        <v>11.5825</v>
      </c>
      <c r="H384" s="7">
        <v>14.1135</v>
      </c>
      <c r="I384" s="4">
        <v>0.1704</v>
      </c>
      <c r="J384" s="2">
        <v>13.913399999999999</v>
      </c>
      <c r="K384" s="1" t="s">
        <v>619</v>
      </c>
      <c r="L384" s="4">
        <v>0.41716247452573402</v>
      </c>
      <c r="M384"/>
      <c r="N384"/>
      <c r="O384"/>
      <c r="P384"/>
      <c r="Q384"/>
    </row>
    <row r="385" spans="1:17" x14ac:dyDescent="0.3">
      <c r="A385" s="1" t="s">
        <v>246</v>
      </c>
      <c r="B385" s="1" t="s">
        <v>77</v>
      </c>
      <c r="C385">
        <v>2013</v>
      </c>
      <c r="D385" s="7">
        <v>13.858700000000001</v>
      </c>
      <c r="E385" s="7">
        <v>13.922499999999999</v>
      </c>
      <c r="F385" s="7">
        <v>15.407500000000001</v>
      </c>
      <c r="G385" s="7">
        <v>11.935</v>
      </c>
      <c r="H385" s="7">
        <v>12.965</v>
      </c>
      <c r="I385" s="4">
        <v>-8.14E-2</v>
      </c>
      <c r="J385" s="2">
        <v>13.557499999999999</v>
      </c>
      <c r="K385" s="1" t="s">
        <v>620</v>
      </c>
      <c r="L385" s="4">
        <v>0.25056462727384199</v>
      </c>
      <c r="M385"/>
      <c r="N385"/>
      <c r="O385"/>
      <c r="P385"/>
      <c r="Q385"/>
    </row>
    <row r="386" spans="1:17" x14ac:dyDescent="0.3">
      <c r="A386" s="1" t="s">
        <v>245</v>
      </c>
      <c r="B386" s="1" t="s">
        <v>77</v>
      </c>
      <c r="C386">
        <v>2014</v>
      </c>
      <c r="D386" s="7">
        <v>12.285</v>
      </c>
      <c r="E386" s="7">
        <v>12.7</v>
      </c>
      <c r="F386" s="7">
        <v>15.201000000000001</v>
      </c>
      <c r="G386" s="7">
        <v>9.1024999999999991</v>
      </c>
      <c r="H386" s="7">
        <v>10.223000000000001</v>
      </c>
      <c r="I386" s="4">
        <v>-0.21149999999999999</v>
      </c>
      <c r="J386" s="2">
        <v>11.8066</v>
      </c>
      <c r="K386" s="1" t="s">
        <v>620</v>
      </c>
      <c r="L386" s="4">
        <v>0.49641839641839602</v>
      </c>
      <c r="M386"/>
      <c r="N386"/>
      <c r="O386"/>
      <c r="P386"/>
      <c r="Q386"/>
    </row>
    <row r="387" spans="1:17" x14ac:dyDescent="0.3">
      <c r="A387" s="1" t="s">
        <v>244</v>
      </c>
      <c r="B387" s="1" t="s">
        <v>77</v>
      </c>
      <c r="C387">
        <v>2015</v>
      </c>
      <c r="D387" s="7">
        <v>9.4242000000000008</v>
      </c>
      <c r="E387" s="7">
        <v>10.07</v>
      </c>
      <c r="F387" s="7">
        <v>10.565</v>
      </c>
      <c r="G387" s="7">
        <v>8.5525000000000002</v>
      </c>
      <c r="H387" s="7">
        <v>8.6564999999999994</v>
      </c>
      <c r="I387" s="4">
        <v>-0.1532</v>
      </c>
      <c r="J387" s="2">
        <v>9.4610000000000003</v>
      </c>
      <c r="K387" s="1" t="s">
        <v>620</v>
      </c>
      <c r="L387" s="4">
        <v>0.21354597737739001</v>
      </c>
      <c r="M387"/>
      <c r="N387"/>
      <c r="O387"/>
      <c r="P387"/>
      <c r="Q387"/>
    </row>
    <row r="388" spans="1:17" x14ac:dyDescent="0.3">
      <c r="A388" s="1" t="s">
        <v>243</v>
      </c>
      <c r="B388" s="1" t="s">
        <v>77</v>
      </c>
      <c r="C388">
        <v>2016</v>
      </c>
      <c r="D388" s="7">
        <v>9.8752999999999993</v>
      </c>
      <c r="E388" s="7">
        <v>8.56</v>
      </c>
      <c r="F388" s="7">
        <v>11.782500000000001</v>
      </c>
      <c r="G388" s="7">
        <v>8.56</v>
      </c>
      <c r="H388" s="7">
        <v>10.025</v>
      </c>
      <c r="I388" s="4">
        <v>0.15809999999999999</v>
      </c>
      <c r="J388" s="2">
        <v>9.7318999999999996</v>
      </c>
      <c r="K388" s="1" t="s">
        <v>619</v>
      </c>
      <c r="L388" s="4">
        <v>0.32631920042935397</v>
      </c>
      <c r="M388"/>
      <c r="N388"/>
      <c r="O388"/>
      <c r="P388"/>
      <c r="Q388"/>
    </row>
    <row r="389" spans="1:17" x14ac:dyDescent="0.3">
      <c r="A389" s="1" t="s">
        <v>242</v>
      </c>
      <c r="B389" s="1" t="s">
        <v>77</v>
      </c>
      <c r="C389">
        <v>2017</v>
      </c>
      <c r="D389" s="7">
        <v>9.782</v>
      </c>
      <c r="E389" s="7">
        <v>9.9499999999999993</v>
      </c>
      <c r="F389" s="7">
        <v>10.75</v>
      </c>
      <c r="G389" s="7">
        <v>9.0399999999999991</v>
      </c>
      <c r="H389" s="7">
        <v>9.5975000000000001</v>
      </c>
      <c r="I389" s="4">
        <v>-4.2599999999999999E-2</v>
      </c>
      <c r="J389" s="2">
        <v>9.8344000000000005</v>
      </c>
      <c r="K389" s="1" t="s">
        <v>620</v>
      </c>
      <c r="L389" s="4">
        <v>0.17481087712124299</v>
      </c>
      <c r="M389"/>
      <c r="N389"/>
      <c r="O389"/>
      <c r="P389"/>
      <c r="Q389"/>
    </row>
    <row r="390" spans="1:17" x14ac:dyDescent="0.3">
      <c r="A390" s="1" t="s">
        <v>241</v>
      </c>
      <c r="B390" s="1" t="s">
        <v>77</v>
      </c>
      <c r="C390">
        <v>2018</v>
      </c>
      <c r="D390" s="7">
        <v>9.3455999999999992</v>
      </c>
      <c r="E390" s="7">
        <v>9.6475000000000009</v>
      </c>
      <c r="F390" s="7">
        <v>10.775</v>
      </c>
      <c r="G390" s="7">
        <v>8.14</v>
      </c>
      <c r="H390" s="7">
        <v>8.9250000000000007</v>
      </c>
      <c r="I390" s="4">
        <v>-7.0099999999999996E-2</v>
      </c>
      <c r="J390" s="2">
        <v>9.3719000000000001</v>
      </c>
      <c r="K390" s="1" t="s">
        <v>620</v>
      </c>
      <c r="L390" s="4">
        <v>0.28195086457798302</v>
      </c>
      <c r="M390"/>
      <c r="N390"/>
      <c r="O390"/>
      <c r="P390"/>
      <c r="Q390"/>
    </row>
    <row r="391" spans="1:17" x14ac:dyDescent="0.3">
      <c r="A391" s="1" t="s">
        <v>240</v>
      </c>
      <c r="B391" s="1" t="s">
        <v>77</v>
      </c>
      <c r="C391">
        <v>2019</v>
      </c>
      <c r="D391" s="7">
        <v>8.9298000000000002</v>
      </c>
      <c r="E391" s="7">
        <v>9.07</v>
      </c>
      <c r="F391" s="7">
        <v>9.5299999999999994</v>
      </c>
      <c r="G391" s="7">
        <v>8.0250000000000004</v>
      </c>
      <c r="H391" s="7">
        <v>9.5299999999999994</v>
      </c>
      <c r="I391" s="4">
        <v>6.7799999999999999E-2</v>
      </c>
      <c r="J391" s="2">
        <v>9.0388000000000002</v>
      </c>
      <c r="K391" s="1" t="s">
        <v>619</v>
      </c>
      <c r="L391" s="4">
        <v>0.16853680933503501</v>
      </c>
      <c r="M391"/>
      <c r="N391"/>
      <c r="O391"/>
      <c r="P391"/>
      <c r="Q391"/>
    </row>
    <row r="392" spans="1:17" x14ac:dyDescent="0.3">
      <c r="A392" s="1" t="s">
        <v>239</v>
      </c>
      <c r="B392" s="1" t="s">
        <v>77</v>
      </c>
      <c r="C392">
        <v>2020</v>
      </c>
      <c r="D392" s="7">
        <v>9.5343999999999998</v>
      </c>
      <c r="E392" s="7">
        <v>9.5625</v>
      </c>
      <c r="F392" s="7">
        <v>13.118499999999999</v>
      </c>
      <c r="G392" s="7">
        <v>8.2174999999999994</v>
      </c>
      <c r="H392" s="7">
        <v>13.118499999999999</v>
      </c>
      <c r="I392" s="4">
        <v>0.3765</v>
      </c>
      <c r="J392" s="2">
        <v>11.004200000000001</v>
      </c>
      <c r="K392" s="1" t="s">
        <v>619</v>
      </c>
      <c r="L392" s="4">
        <v>0.51403339486490995</v>
      </c>
      <c r="M392"/>
      <c r="N392"/>
      <c r="O392"/>
      <c r="P392"/>
      <c r="Q392"/>
    </row>
    <row r="393" spans="1:17" x14ac:dyDescent="0.3">
      <c r="A393" s="1" t="s">
        <v>238</v>
      </c>
      <c r="B393" s="1" t="s">
        <v>77</v>
      </c>
      <c r="C393">
        <v>2021</v>
      </c>
      <c r="D393" s="7">
        <v>13.689</v>
      </c>
      <c r="E393" s="7">
        <v>13.13</v>
      </c>
      <c r="F393" s="7">
        <v>16.425000000000001</v>
      </c>
      <c r="G393" s="7">
        <v>11.885</v>
      </c>
      <c r="H393" s="7">
        <v>13.371499999999999</v>
      </c>
      <c r="I393" s="4">
        <v>1.9300000000000001E-2</v>
      </c>
      <c r="J393" s="2">
        <v>13.7029</v>
      </c>
      <c r="K393" s="1" t="s">
        <v>619</v>
      </c>
      <c r="L393" s="4">
        <v>0.33165315216597302</v>
      </c>
      <c r="M393"/>
      <c r="N393"/>
      <c r="O393"/>
      <c r="P393"/>
      <c r="Q393"/>
    </row>
    <row r="394" spans="1:17" x14ac:dyDescent="0.3">
      <c r="A394" s="1" t="s">
        <v>237</v>
      </c>
      <c r="B394" s="1" t="s">
        <v>77</v>
      </c>
      <c r="C394">
        <v>2022</v>
      </c>
      <c r="D394" s="7">
        <v>15.5008</v>
      </c>
      <c r="E394" s="7">
        <v>13.555</v>
      </c>
      <c r="F394" s="7">
        <v>17.690000000000001</v>
      </c>
      <c r="G394" s="7">
        <v>13.555</v>
      </c>
      <c r="H394" s="7">
        <v>15.09</v>
      </c>
      <c r="I394" s="4">
        <v>0.1285</v>
      </c>
      <c r="J394" s="2">
        <v>14.9725</v>
      </c>
      <c r="K394" s="1" t="s">
        <v>619</v>
      </c>
      <c r="L394" s="4">
        <v>0.26676042526837301</v>
      </c>
      <c r="M394"/>
      <c r="N394"/>
      <c r="O394"/>
      <c r="P394"/>
      <c r="Q394"/>
    </row>
    <row r="395" spans="1:17" x14ac:dyDescent="0.3">
      <c r="A395" s="1" t="s">
        <v>236</v>
      </c>
      <c r="B395" s="1" t="s">
        <v>77</v>
      </c>
      <c r="C395">
        <v>2023</v>
      </c>
      <c r="D395" s="7">
        <v>14.1616</v>
      </c>
      <c r="E395" s="7">
        <v>15.19</v>
      </c>
      <c r="F395" s="7">
        <v>15.6</v>
      </c>
      <c r="G395" s="7">
        <v>12.53</v>
      </c>
      <c r="H395" s="7">
        <v>12.92</v>
      </c>
      <c r="I395" s="4">
        <v>-0.14380000000000001</v>
      </c>
      <c r="J395" s="2">
        <v>14.06</v>
      </c>
      <c r="K395" s="1" t="s">
        <v>620</v>
      </c>
      <c r="L395" s="4">
        <v>0.21678341430346901</v>
      </c>
      <c r="M395"/>
      <c r="N395"/>
      <c r="O395"/>
      <c r="P395"/>
      <c r="Q395"/>
    </row>
    <row r="396" spans="1:17" x14ac:dyDescent="0.3">
      <c r="A396" s="1" t="s">
        <v>235</v>
      </c>
      <c r="B396" s="1" t="s">
        <v>77</v>
      </c>
      <c r="C396">
        <v>2024</v>
      </c>
      <c r="D396" s="7">
        <v>11.941700000000001</v>
      </c>
      <c r="E396" s="7">
        <v>12.92</v>
      </c>
      <c r="F396" s="7">
        <v>12.92</v>
      </c>
      <c r="G396" s="7">
        <v>11.27</v>
      </c>
      <c r="H396" s="7">
        <v>11.78</v>
      </c>
      <c r="I396" s="4">
        <v>-8.8200000000000001E-2</v>
      </c>
      <c r="J396" s="2">
        <v>12.2225</v>
      </c>
      <c r="K396" s="1" t="s">
        <v>620</v>
      </c>
      <c r="L396" s="4">
        <v>0.138171282145758</v>
      </c>
      <c r="M396"/>
      <c r="N396"/>
      <c r="O396"/>
      <c r="P396"/>
      <c r="Q396"/>
    </row>
    <row r="397" spans="1:17" x14ac:dyDescent="0.3">
      <c r="A397" s="1" t="s">
        <v>354</v>
      </c>
      <c r="B397" s="1" t="s">
        <v>78</v>
      </c>
      <c r="C397">
        <v>1961</v>
      </c>
      <c r="D397" s="7">
        <v>0.11</v>
      </c>
      <c r="E397" s="7">
        <v>0.09</v>
      </c>
      <c r="F397" s="7">
        <v>0.13</v>
      </c>
      <c r="G397" s="7">
        <v>0.09</v>
      </c>
      <c r="H397" s="7">
        <v>0.11</v>
      </c>
      <c r="I397" s="4">
        <v>0.1384</v>
      </c>
      <c r="J397" s="2">
        <v>0.105</v>
      </c>
      <c r="K397" s="1" t="s">
        <v>619</v>
      </c>
      <c r="L397" s="4">
        <v>0.36363636363636398</v>
      </c>
      <c r="M397"/>
      <c r="N397"/>
      <c r="O397"/>
      <c r="P397"/>
      <c r="Q397"/>
    </row>
    <row r="398" spans="1:17" x14ac:dyDescent="0.3">
      <c r="A398" s="1" t="s">
        <v>353</v>
      </c>
      <c r="B398" s="1" t="s">
        <v>78</v>
      </c>
      <c r="C398">
        <v>1962</v>
      </c>
      <c r="D398" s="7">
        <v>0.09</v>
      </c>
      <c r="E398" s="7">
        <v>0.11</v>
      </c>
      <c r="F398" s="7">
        <v>0.11</v>
      </c>
      <c r="G398" s="7">
        <v>0.08</v>
      </c>
      <c r="H398" s="7">
        <v>0.09</v>
      </c>
      <c r="I398" s="4">
        <v>-0.1885</v>
      </c>
      <c r="J398" s="2">
        <v>9.7500000000000003E-2</v>
      </c>
      <c r="K398" s="1" t="s">
        <v>620</v>
      </c>
      <c r="L398" s="4">
        <v>0.33333333333333298</v>
      </c>
      <c r="M398"/>
      <c r="N398"/>
      <c r="O398"/>
      <c r="P398"/>
      <c r="Q398"/>
    </row>
    <row r="399" spans="1:17" x14ac:dyDescent="0.3">
      <c r="A399" s="1" t="s">
        <v>352</v>
      </c>
      <c r="B399" s="1" t="s">
        <v>78</v>
      </c>
      <c r="C399">
        <v>1963</v>
      </c>
      <c r="D399" s="7">
        <v>0.09</v>
      </c>
      <c r="E399" s="7">
        <v>0.09</v>
      </c>
      <c r="F399" s="7">
        <v>0.1</v>
      </c>
      <c r="G399" s="7">
        <v>0.08</v>
      </c>
      <c r="H399" s="7">
        <v>0.08</v>
      </c>
      <c r="I399" s="4">
        <v>-3.7199999999999997E-2</v>
      </c>
      <c r="J399" s="2">
        <v>8.7499999999999994E-2</v>
      </c>
      <c r="K399" s="1" t="s">
        <v>620</v>
      </c>
      <c r="L399" s="4">
        <v>0.22222222222222199</v>
      </c>
      <c r="M399"/>
      <c r="N399"/>
      <c r="O399"/>
      <c r="P399"/>
      <c r="Q399"/>
    </row>
    <row r="400" spans="1:17" x14ac:dyDescent="0.3">
      <c r="A400" s="1" t="s">
        <v>351</v>
      </c>
      <c r="B400" s="1" t="s">
        <v>78</v>
      </c>
      <c r="C400">
        <v>1964</v>
      </c>
      <c r="D400" s="7">
        <v>0.09</v>
      </c>
      <c r="E400" s="7">
        <v>0.08</v>
      </c>
      <c r="F400" s="7">
        <v>0.12</v>
      </c>
      <c r="G400" s="7">
        <v>0.08</v>
      </c>
      <c r="H400" s="7">
        <v>0.11</v>
      </c>
      <c r="I400" s="4">
        <v>0.31969999999999998</v>
      </c>
      <c r="J400" s="2">
        <v>9.7500000000000003E-2</v>
      </c>
      <c r="K400" s="1" t="s">
        <v>619</v>
      </c>
      <c r="L400" s="4">
        <v>0.44444444444444398</v>
      </c>
      <c r="M400"/>
      <c r="N400"/>
      <c r="O400"/>
      <c r="P400"/>
      <c r="Q400"/>
    </row>
    <row r="401" spans="1:17" x14ac:dyDescent="0.3">
      <c r="A401" s="1" t="s">
        <v>350</v>
      </c>
      <c r="B401" s="1" t="s">
        <v>78</v>
      </c>
      <c r="C401">
        <v>1965</v>
      </c>
      <c r="D401" s="7">
        <v>0.11</v>
      </c>
      <c r="E401" s="7">
        <v>0.11</v>
      </c>
      <c r="F401" s="7">
        <v>0.12</v>
      </c>
      <c r="G401" s="7">
        <v>0.09</v>
      </c>
      <c r="H401" s="7">
        <v>0.11</v>
      </c>
      <c r="I401" s="4">
        <v>-3.9300000000000002E-2</v>
      </c>
      <c r="J401" s="2">
        <v>0.1075</v>
      </c>
      <c r="K401" s="1" t="s">
        <v>620</v>
      </c>
      <c r="L401" s="4">
        <v>0.27272727272727298</v>
      </c>
      <c r="M401"/>
      <c r="N401"/>
      <c r="O401"/>
      <c r="P401"/>
      <c r="Q401"/>
    </row>
    <row r="402" spans="1:17" x14ac:dyDescent="0.3">
      <c r="A402" s="1" t="s">
        <v>349</v>
      </c>
      <c r="B402" s="1" t="s">
        <v>78</v>
      </c>
      <c r="C402">
        <v>1966</v>
      </c>
      <c r="D402" s="7">
        <v>0.11</v>
      </c>
      <c r="E402" s="7">
        <v>0.11</v>
      </c>
      <c r="F402" s="7">
        <v>0.14000000000000001</v>
      </c>
      <c r="G402" s="7">
        <v>0.1</v>
      </c>
      <c r="H402" s="7">
        <v>0.1</v>
      </c>
      <c r="I402" s="4">
        <v>-2.5700000000000001E-2</v>
      </c>
      <c r="J402" s="2">
        <v>0.1125</v>
      </c>
      <c r="K402" s="1" t="s">
        <v>620</v>
      </c>
      <c r="L402" s="4">
        <v>0.36363636363636398</v>
      </c>
      <c r="M402"/>
      <c r="N402"/>
      <c r="O402"/>
      <c r="P402"/>
      <c r="Q402"/>
    </row>
    <row r="403" spans="1:17" x14ac:dyDescent="0.3">
      <c r="A403" s="1" t="s">
        <v>348</v>
      </c>
      <c r="B403" s="1" t="s">
        <v>78</v>
      </c>
      <c r="C403">
        <v>1967</v>
      </c>
      <c r="D403" s="7">
        <v>0.09</v>
      </c>
      <c r="E403" s="7">
        <v>0.1</v>
      </c>
      <c r="F403" s="7">
        <v>0.1</v>
      </c>
      <c r="G403" s="7">
        <v>0.08</v>
      </c>
      <c r="H403" s="7">
        <v>0.09</v>
      </c>
      <c r="I403" s="4">
        <v>-0.16020000000000001</v>
      </c>
      <c r="J403" s="2">
        <v>9.2499999999999999E-2</v>
      </c>
      <c r="K403" s="1" t="s">
        <v>620</v>
      </c>
      <c r="L403" s="4">
        <v>0.22222222222222199</v>
      </c>
      <c r="M403"/>
      <c r="N403"/>
      <c r="O403"/>
      <c r="P403"/>
      <c r="Q403"/>
    </row>
    <row r="404" spans="1:17" x14ac:dyDescent="0.3">
      <c r="A404" s="1" t="s">
        <v>347</v>
      </c>
      <c r="B404" s="1" t="s">
        <v>78</v>
      </c>
      <c r="C404">
        <v>1968</v>
      </c>
      <c r="D404" s="7">
        <v>0.08</v>
      </c>
      <c r="E404" s="7">
        <v>0.09</v>
      </c>
      <c r="F404" s="7">
        <v>0.09</v>
      </c>
      <c r="G404" s="7">
        <v>7.0000000000000007E-2</v>
      </c>
      <c r="H404" s="7">
        <v>0.08</v>
      </c>
      <c r="I404" s="4">
        <v>-3.3700000000000001E-2</v>
      </c>
      <c r="J404" s="2">
        <v>8.2500000000000004E-2</v>
      </c>
      <c r="K404" s="1" t="s">
        <v>620</v>
      </c>
      <c r="L404" s="4">
        <v>0.25</v>
      </c>
      <c r="M404"/>
      <c r="N404"/>
      <c r="O404"/>
      <c r="P404"/>
      <c r="Q404"/>
    </row>
    <row r="405" spans="1:17" x14ac:dyDescent="0.3">
      <c r="A405" s="1" t="s">
        <v>346</v>
      </c>
      <c r="B405" s="1" t="s">
        <v>78</v>
      </c>
      <c r="C405">
        <v>1969</v>
      </c>
      <c r="D405" s="7">
        <v>0.08</v>
      </c>
      <c r="E405" s="7">
        <v>0.08</v>
      </c>
      <c r="F405" s="7">
        <v>0.11</v>
      </c>
      <c r="G405" s="7">
        <v>7.0000000000000007E-2</v>
      </c>
      <c r="H405" s="7">
        <v>0.09</v>
      </c>
      <c r="I405" s="4">
        <v>5.8999999999999997E-2</v>
      </c>
      <c r="J405" s="2">
        <v>8.7499999999999994E-2</v>
      </c>
      <c r="K405" s="1" t="s">
        <v>619</v>
      </c>
      <c r="L405" s="4">
        <v>0.5</v>
      </c>
      <c r="M405"/>
      <c r="N405"/>
      <c r="O405"/>
      <c r="P405"/>
      <c r="Q405"/>
    </row>
    <row r="406" spans="1:17" x14ac:dyDescent="0.3">
      <c r="A406" s="1" t="s">
        <v>345</v>
      </c>
      <c r="B406" s="1" t="s">
        <v>78</v>
      </c>
      <c r="C406">
        <v>1970</v>
      </c>
      <c r="D406" s="7">
        <v>0.11</v>
      </c>
      <c r="E406" s="7">
        <v>0.09</v>
      </c>
      <c r="F406" s="7">
        <v>0.14000000000000001</v>
      </c>
      <c r="G406" s="7">
        <v>0.09</v>
      </c>
      <c r="H406" s="7">
        <v>0.12</v>
      </c>
      <c r="I406" s="4">
        <v>0.3125</v>
      </c>
      <c r="J406" s="2">
        <v>0.11</v>
      </c>
      <c r="K406" s="1" t="s">
        <v>619</v>
      </c>
      <c r="L406" s="4">
        <v>0.45454545454545497</v>
      </c>
      <c r="M406"/>
      <c r="N406"/>
      <c r="O406"/>
      <c r="P406"/>
      <c r="Q406"/>
    </row>
    <row r="407" spans="1:17" x14ac:dyDescent="0.3">
      <c r="A407" s="1" t="s">
        <v>344</v>
      </c>
      <c r="B407" s="1" t="s">
        <v>78</v>
      </c>
      <c r="C407">
        <v>1971</v>
      </c>
      <c r="D407" s="7">
        <v>0.12</v>
      </c>
      <c r="E407" s="7">
        <v>0.11</v>
      </c>
      <c r="F407" s="7">
        <v>0.15</v>
      </c>
      <c r="G407" s="7">
        <v>0.11</v>
      </c>
      <c r="H407" s="7">
        <v>0.12</v>
      </c>
      <c r="I407" s="4">
        <v>2.5999999999999999E-3</v>
      </c>
      <c r="J407" s="2">
        <v>0.1225</v>
      </c>
      <c r="K407" s="1" t="s">
        <v>619</v>
      </c>
      <c r="L407" s="4">
        <v>0.33333333333333298</v>
      </c>
      <c r="M407"/>
      <c r="N407"/>
      <c r="O407"/>
      <c r="P407"/>
      <c r="Q407"/>
    </row>
    <row r="408" spans="1:17" x14ac:dyDescent="0.3">
      <c r="A408" s="1" t="s">
        <v>343</v>
      </c>
      <c r="B408" s="1" t="s">
        <v>78</v>
      </c>
      <c r="C408">
        <v>1972</v>
      </c>
      <c r="D408" s="7">
        <v>0.11</v>
      </c>
      <c r="E408" s="7">
        <v>0.11</v>
      </c>
      <c r="F408" s="7">
        <v>0.12</v>
      </c>
      <c r="G408" s="7">
        <v>0.09</v>
      </c>
      <c r="H408" s="7">
        <v>0.1</v>
      </c>
      <c r="I408" s="4">
        <v>-0.1598</v>
      </c>
      <c r="J408" s="2">
        <v>0.105</v>
      </c>
      <c r="K408" s="1" t="s">
        <v>620</v>
      </c>
      <c r="L408" s="4">
        <v>0.27272727272727298</v>
      </c>
      <c r="M408"/>
      <c r="N408"/>
      <c r="O408"/>
      <c r="P408"/>
      <c r="Q408"/>
    </row>
    <row r="409" spans="1:17" x14ac:dyDescent="0.3">
      <c r="A409" s="1" t="s">
        <v>342</v>
      </c>
      <c r="B409" s="1" t="s">
        <v>78</v>
      </c>
      <c r="C409">
        <v>1973</v>
      </c>
      <c r="D409" s="7">
        <v>0.18</v>
      </c>
      <c r="E409" s="7">
        <v>0.1</v>
      </c>
      <c r="F409" s="7">
        <v>0.34</v>
      </c>
      <c r="G409" s="7">
        <v>0.1</v>
      </c>
      <c r="H409" s="7">
        <v>0.21</v>
      </c>
      <c r="I409" s="4">
        <v>1.1757</v>
      </c>
      <c r="J409" s="2">
        <v>0.1875</v>
      </c>
      <c r="K409" s="1" t="s">
        <v>619</v>
      </c>
      <c r="L409" s="4">
        <v>1.3333333333333299</v>
      </c>
      <c r="M409"/>
      <c r="N409"/>
      <c r="O409"/>
      <c r="P409"/>
      <c r="Q409"/>
    </row>
    <row r="410" spans="1:17" x14ac:dyDescent="0.3">
      <c r="A410" s="1" t="s">
        <v>341</v>
      </c>
      <c r="B410" s="1" t="s">
        <v>78</v>
      </c>
      <c r="C410">
        <v>1974</v>
      </c>
      <c r="D410" s="7">
        <v>0.33</v>
      </c>
      <c r="E410" s="7">
        <v>0.21</v>
      </c>
      <c r="F410" s="7">
        <v>0.48</v>
      </c>
      <c r="G410" s="7">
        <v>0.21</v>
      </c>
      <c r="H410" s="7">
        <v>0.36</v>
      </c>
      <c r="I410" s="4">
        <v>0.6835</v>
      </c>
      <c r="J410" s="2">
        <v>0.315</v>
      </c>
      <c r="K410" s="1" t="s">
        <v>619</v>
      </c>
      <c r="L410" s="4">
        <v>0.81818181818181801</v>
      </c>
      <c r="M410"/>
      <c r="N410"/>
      <c r="O410"/>
      <c r="P410"/>
      <c r="Q410"/>
    </row>
    <row r="411" spans="1:17" x14ac:dyDescent="0.3">
      <c r="A411" s="1" t="s">
        <v>340</v>
      </c>
      <c r="B411" s="1" t="s">
        <v>78</v>
      </c>
      <c r="C411">
        <v>1975</v>
      </c>
      <c r="D411" s="7">
        <v>0.24</v>
      </c>
      <c r="E411" s="7">
        <v>0.36</v>
      </c>
      <c r="F411" s="7">
        <v>0.37</v>
      </c>
      <c r="G411" s="7">
        <v>0.16</v>
      </c>
      <c r="H411" s="7">
        <v>0.16</v>
      </c>
      <c r="I411" s="4">
        <v>-0.55979999999999996</v>
      </c>
      <c r="J411" s="2">
        <v>0.26250000000000001</v>
      </c>
      <c r="K411" s="1" t="s">
        <v>620</v>
      </c>
      <c r="L411" s="4">
        <v>0.875</v>
      </c>
      <c r="M411"/>
      <c r="N411"/>
      <c r="O411"/>
      <c r="P411"/>
      <c r="Q411"/>
    </row>
    <row r="412" spans="1:17" x14ac:dyDescent="0.3">
      <c r="A412" s="1" t="s">
        <v>339</v>
      </c>
      <c r="B412" s="1" t="s">
        <v>78</v>
      </c>
      <c r="C412">
        <v>1976</v>
      </c>
      <c r="D412" s="7">
        <v>0.19</v>
      </c>
      <c r="E412" s="7">
        <v>0.16</v>
      </c>
      <c r="F412" s="7">
        <v>0.24</v>
      </c>
      <c r="G412" s="7">
        <v>0.15</v>
      </c>
      <c r="H412" s="7">
        <v>0.21</v>
      </c>
      <c r="I412" s="4">
        <v>0.34610000000000002</v>
      </c>
      <c r="J412" s="2">
        <v>0.19</v>
      </c>
      <c r="K412" s="1" t="s">
        <v>619</v>
      </c>
      <c r="L412" s="4">
        <v>0.47368421052631599</v>
      </c>
      <c r="M412"/>
      <c r="N412"/>
      <c r="O412"/>
      <c r="P412"/>
      <c r="Q412"/>
    </row>
    <row r="413" spans="1:17" x14ac:dyDescent="0.3">
      <c r="A413" s="1" t="s">
        <v>338</v>
      </c>
      <c r="B413" s="1" t="s">
        <v>78</v>
      </c>
      <c r="C413">
        <v>1977</v>
      </c>
      <c r="D413" s="7">
        <v>0.24</v>
      </c>
      <c r="E413" s="7">
        <v>0.21</v>
      </c>
      <c r="F413" s="7">
        <v>0.33</v>
      </c>
      <c r="G413" s="7">
        <v>0.17</v>
      </c>
      <c r="H413" s="7">
        <v>0.21</v>
      </c>
      <c r="I413" s="4">
        <v>-3.8E-3</v>
      </c>
      <c r="J413" s="2">
        <v>0.23</v>
      </c>
      <c r="K413" s="1" t="s">
        <v>620</v>
      </c>
      <c r="L413" s="4">
        <v>0.66666666666666696</v>
      </c>
      <c r="M413"/>
      <c r="N413"/>
      <c r="O413"/>
      <c r="P413"/>
      <c r="Q413"/>
    </row>
    <row r="414" spans="1:17" x14ac:dyDescent="0.3">
      <c r="A414" s="1" t="s">
        <v>337</v>
      </c>
      <c r="B414" s="1" t="s">
        <v>78</v>
      </c>
      <c r="C414">
        <v>1978</v>
      </c>
      <c r="D414" s="7">
        <v>0.25</v>
      </c>
      <c r="E414" s="7">
        <v>0.21</v>
      </c>
      <c r="F414" s="7">
        <v>0.28999999999999998</v>
      </c>
      <c r="G414" s="7">
        <v>0.2</v>
      </c>
      <c r="H414" s="7">
        <v>0.25</v>
      </c>
      <c r="I414" s="4">
        <v>0.17399999999999999</v>
      </c>
      <c r="J414" s="2">
        <v>0.23749999999999999</v>
      </c>
      <c r="K414" s="1" t="s">
        <v>619</v>
      </c>
      <c r="L414" s="4">
        <v>0.36</v>
      </c>
      <c r="M414"/>
      <c r="N414"/>
      <c r="O414"/>
      <c r="P414"/>
      <c r="Q414"/>
    </row>
    <row r="415" spans="1:17" x14ac:dyDescent="0.3">
      <c r="A415" s="1" t="s">
        <v>336</v>
      </c>
      <c r="B415" s="1" t="s">
        <v>78</v>
      </c>
      <c r="C415">
        <v>1979</v>
      </c>
      <c r="D415" s="7">
        <v>0.27</v>
      </c>
      <c r="E415" s="7">
        <v>0.25</v>
      </c>
      <c r="F415" s="7">
        <v>0.3</v>
      </c>
      <c r="G415" s="7">
        <v>0.24</v>
      </c>
      <c r="H415" s="7">
        <v>0.24</v>
      </c>
      <c r="I415" s="4">
        <v>-2.4299999999999999E-2</v>
      </c>
      <c r="J415" s="2">
        <v>0.25750000000000001</v>
      </c>
      <c r="K415" s="1" t="s">
        <v>620</v>
      </c>
      <c r="L415" s="4">
        <v>0.22222222222222199</v>
      </c>
      <c r="M415"/>
      <c r="N415"/>
      <c r="O415"/>
      <c r="P415"/>
      <c r="Q415"/>
    </row>
    <row r="416" spans="1:17" x14ac:dyDescent="0.3">
      <c r="A416" s="1" t="s">
        <v>335</v>
      </c>
      <c r="B416" s="1" t="s">
        <v>78</v>
      </c>
      <c r="C416">
        <v>1980</v>
      </c>
      <c r="D416" s="7">
        <v>0.24</v>
      </c>
      <c r="E416" s="7">
        <v>0.24</v>
      </c>
      <c r="F416" s="7">
        <v>0.28999999999999998</v>
      </c>
      <c r="G416" s="7">
        <v>0.2</v>
      </c>
      <c r="H416" s="7">
        <v>0.25</v>
      </c>
      <c r="I416" s="4">
        <v>3.6900000000000002E-2</v>
      </c>
      <c r="J416" s="2">
        <v>0.245</v>
      </c>
      <c r="K416" s="1" t="s">
        <v>619</v>
      </c>
      <c r="L416" s="4">
        <v>0.375</v>
      </c>
      <c r="M416"/>
      <c r="N416"/>
      <c r="O416"/>
      <c r="P416"/>
      <c r="Q416"/>
    </row>
    <row r="417" spans="1:17" x14ac:dyDescent="0.3">
      <c r="A417" s="1" t="s">
        <v>334</v>
      </c>
      <c r="B417" s="1" t="s">
        <v>78</v>
      </c>
      <c r="C417">
        <v>1981</v>
      </c>
      <c r="D417" s="7">
        <v>0.23</v>
      </c>
      <c r="E417" s="7">
        <v>0.26</v>
      </c>
      <c r="F417" s="7">
        <v>0.26</v>
      </c>
      <c r="G417" s="7">
        <v>0.19</v>
      </c>
      <c r="H417" s="7">
        <v>0.19</v>
      </c>
      <c r="I417" s="4">
        <v>-0.23769999999999999</v>
      </c>
      <c r="J417" s="2">
        <v>0.22500000000000001</v>
      </c>
      <c r="K417" s="1" t="s">
        <v>620</v>
      </c>
      <c r="L417" s="4">
        <v>0.30434782608695699</v>
      </c>
      <c r="M417"/>
      <c r="N417"/>
      <c r="O417"/>
      <c r="P417"/>
      <c r="Q417"/>
    </row>
    <row r="418" spans="1:17" x14ac:dyDescent="0.3">
      <c r="A418" s="1" t="s">
        <v>333</v>
      </c>
      <c r="B418" s="1" t="s">
        <v>78</v>
      </c>
      <c r="C418">
        <v>1982</v>
      </c>
      <c r="D418" s="7">
        <v>0.18</v>
      </c>
      <c r="E418" s="7">
        <v>0.19</v>
      </c>
      <c r="F418" s="7">
        <v>0.21</v>
      </c>
      <c r="G418" s="7">
        <v>0.16</v>
      </c>
      <c r="H418" s="7">
        <v>0.16</v>
      </c>
      <c r="I418" s="4">
        <v>-0.13750000000000001</v>
      </c>
      <c r="J418" s="2">
        <v>0.18</v>
      </c>
      <c r="K418" s="1" t="s">
        <v>620</v>
      </c>
      <c r="L418" s="4">
        <v>0.27777777777777801</v>
      </c>
      <c r="M418"/>
      <c r="N418"/>
      <c r="O418"/>
      <c r="P418"/>
      <c r="Q418"/>
    </row>
    <row r="419" spans="1:17" x14ac:dyDescent="0.3">
      <c r="A419" s="1" t="s">
        <v>332</v>
      </c>
      <c r="B419" s="1" t="s">
        <v>78</v>
      </c>
      <c r="C419">
        <v>1983</v>
      </c>
      <c r="D419" s="7">
        <v>0.23</v>
      </c>
      <c r="E419" s="7">
        <v>0.16</v>
      </c>
      <c r="F419" s="7">
        <v>0.36</v>
      </c>
      <c r="G419" s="7">
        <v>0.16</v>
      </c>
      <c r="H419" s="7">
        <v>0.3</v>
      </c>
      <c r="I419" s="4">
        <v>0.79730000000000001</v>
      </c>
      <c r="J419" s="2">
        <v>0.245</v>
      </c>
      <c r="K419" s="1" t="s">
        <v>619</v>
      </c>
      <c r="L419" s="4">
        <v>0.86956521739130399</v>
      </c>
      <c r="M419"/>
      <c r="N419"/>
      <c r="O419"/>
      <c r="P419"/>
      <c r="Q419"/>
    </row>
    <row r="420" spans="1:17" x14ac:dyDescent="0.3">
      <c r="A420" s="1" t="s">
        <v>331</v>
      </c>
      <c r="B420" s="1" t="s">
        <v>78</v>
      </c>
      <c r="C420">
        <v>1984</v>
      </c>
      <c r="D420" s="7">
        <v>0.28999999999999998</v>
      </c>
      <c r="E420" s="7">
        <v>0.28999999999999998</v>
      </c>
      <c r="F420" s="7">
        <v>0.4</v>
      </c>
      <c r="G420" s="7">
        <v>0.25</v>
      </c>
      <c r="H420" s="7">
        <v>0.25</v>
      </c>
      <c r="I420" s="4">
        <v>-0.151</v>
      </c>
      <c r="J420" s="2">
        <v>0.29749999999999999</v>
      </c>
      <c r="K420" s="1" t="s">
        <v>620</v>
      </c>
      <c r="L420" s="4">
        <v>0.51724137931034497</v>
      </c>
      <c r="M420"/>
      <c r="N420"/>
      <c r="O420"/>
      <c r="P420"/>
      <c r="Q420"/>
    </row>
    <row r="421" spans="1:17" x14ac:dyDescent="0.3">
      <c r="A421" s="1" t="s">
        <v>330</v>
      </c>
      <c r="B421" s="1" t="s">
        <v>78</v>
      </c>
      <c r="C421">
        <v>1985</v>
      </c>
      <c r="D421" s="7">
        <v>0.26</v>
      </c>
      <c r="E421" s="7">
        <v>0.25</v>
      </c>
      <c r="F421" s="7">
        <v>0.33</v>
      </c>
      <c r="G421" s="7">
        <v>0.19</v>
      </c>
      <c r="H421" s="7">
        <v>0.22</v>
      </c>
      <c r="I421" s="4">
        <v>-0.13919999999999999</v>
      </c>
      <c r="J421" s="2">
        <v>0.2475</v>
      </c>
      <c r="K421" s="1" t="s">
        <v>620</v>
      </c>
      <c r="L421" s="4">
        <v>0.53846153846153799</v>
      </c>
      <c r="M421"/>
      <c r="N421"/>
      <c r="O421"/>
      <c r="P421"/>
      <c r="Q421"/>
    </row>
    <row r="422" spans="1:17" x14ac:dyDescent="0.3">
      <c r="A422" s="1" t="s">
        <v>329</v>
      </c>
      <c r="B422" s="1" t="s">
        <v>78</v>
      </c>
      <c r="C422">
        <v>1986</v>
      </c>
      <c r="D422" s="7">
        <v>0.17</v>
      </c>
      <c r="E422" s="7">
        <v>0.22</v>
      </c>
      <c r="F422" s="7">
        <v>0.22</v>
      </c>
      <c r="G422" s="7">
        <v>0.13</v>
      </c>
      <c r="H422" s="7">
        <v>0.15</v>
      </c>
      <c r="I422" s="4">
        <v>-0.28639999999999999</v>
      </c>
      <c r="J422" s="2">
        <v>0.18</v>
      </c>
      <c r="K422" s="1" t="s">
        <v>620</v>
      </c>
      <c r="L422" s="4">
        <v>0.52941176470588203</v>
      </c>
      <c r="M422"/>
      <c r="N422"/>
      <c r="O422"/>
      <c r="P422"/>
      <c r="Q422"/>
    </row>
    <row r="423" spans="1:17" x14ac:dyDescent="0.3">
      <c r="A423" s="1" t="s">
        <v>328</v>
      </c>
      <c r="B423" s="1" t="s">
        <v>78</v>
      </c>
      <c r="C423">
        <v>1987</v>
      </c>
      <c r="D423" s="7">
        <v>0.17</v>
      </c>
      <c r="E423" s="7">
        <v>0.15</v>
      </c>
      <c r="F423" s="7">
        <v>0.21</v>
      </c>
      <c r="G423" s="7">
        <v>0.15</v>
      </c>
      <c r="H423" s="7">
        <v>0.21</v>
      </c>
      <c r="I423" s="4">
        <v>0.36620000000000003</v>
      </c>
      <c r="J423" s="2">
        <v>0.18</v>
      </c>
      <c r="K423" s="1" t="s">
        <v>619</v>
      </c>
      <c r="L423" s="4">
        <v>0.35294117647058798</v>
      </c>
      <c r="M423"/>
      <c r="N423"/>
      <c r="O423"/>
      <c r="P423"/>
      <c r="Q423"/>
    </row>
    <row r="424" spans="1:17" x14ac:dyDescent="0.3">
      <c r="A424" s="1" t="s">
        <v>327</v>
      </c>
      <c r="B424" s="1" t="s">
        <v>78</v>
      </c>
      <c r="C424">
        <v>1988</v>
      </c>
      <c r="D424" s="7">
        <v>0.24</v>
      </c>
      <c r="E424" s="7">
        <v>0.21</v>
      </c>
      <c r="F424" s="7">
        <v>0.33</v>
      </c>
      <c r="G424" s="7">
        <v>0.2</v>
      </c>
      <c r="H424" s="7">
        <v>0.23</v>
      </c>
      <c r="I424" s="4">
        <v>0.1055</v>
      </c>
      <c r="J424" s="2">
        <v>0.24249999999999999</v>
      </c>
      <c r="K424" s="1" t="s">
        <v>619</v>
      </c>
      <c r="L424" s="4">
        <v>0.54166666666666696</v>
      </c>
      <c r="M424"/>
      <c r="N424"/>
      <c r="O424"/>
      <c r="P424"/>
      <c r="Q424"/>
    </row>
    <row r="425" spans="1:17" x14ac:dyDescent="0.3">
      <c r="A425" s="1" t="s">
        <v>326</v>
      </c>
      <c r="B425" s="1" t="s">
        <v>78</v>
      </c>
      <c r="C425">
        <v>1989</v>
      </c>
      <c r="D425" s="7">
        <v>0.21</v>
      </c>
      <c r="E425" s="7">
        <v>0.23</v>
      </c>
      <c r="F425" s="7">
        <v>0.24</v>
      </c>
      <c r="G425" s="7">
        <v>0.18</v>
      </c>
      <c r="H425" s="7">
        <v>0.19</v>
      </c>
      <c r="I425" s="4">
        <v>-0.17929999999999999</v>
      </c>
      <c r="J425" s="2">
        <v>0.21</v>
      </c>
      <c r="K425" s="1" t="s">
        <v>620</v>
      </c>
      <c r="L425" s="4">
        <v>0.28571428571428598</v>
      </c>
      <c r="M425"/>
      <c r="N425"/>
      <c r="O425"/>
      <c r="P425"/>
      <c r="Q425"/>
    </row>
    <row r="426" spans="1:17" x14ac:dyDescent="0.3">
      <c r="A426" s="1" t="s">
        <v>325</v>
      </c>
      <c r="B426" s="1" t="s">
        <v>78</v>
      </c>
      <c r="C426">
        <v>1990</v>
      </c>
      <c r="D426" s="7">
        <v>0.22</v>
      </c>
      <c r="E426" s="7">
        <v>0.19</v>
      </c>
      <c r="F426" s="7">
        <v>0.26</v>
      </c>
      <c r="G426" s="7">
        <v>0.19</v>
      </c>
      <c r="H426" s="7">
        <v>0.21</v>
      </c>
      <c r="I426" s="4">
        <v>0.10009999999999999</v>
      </c>
      <c r="J426" s="2">
        <v>0.21249999999999999</v>
      </c>
      <c r="K426" s="1" t="s">
        <v>619</v>
      </c>
      <c r="L426" s="4">
        <v>0.31818181818181801</v>
      </c>
      <c r="M426"/>
      <c r="N426"/>
      <c r="O426"/>
      <c r="P426"/>
      <c r="Q426"/>
    </row>
    <row r="427" spans="1:17" x14ac:dyDescent="0.3">
      <c r="A427" s="1" t="s">
        <v>324</v>
      </c>
      <c r="B427" s="1" t="s">
        <v>78</v>
      </c>
      <c r="C427">
        <v>1991</v>
      </c>
      <c r="D427" s="7">
        <v>0.2</v>
      </c>
      <c r="E427" s="7">
        <v>0.21</v>
      </c>
      <c r="F427" s="7">
        <v>0.23</v>
      </c>
      <c r="G427" s="7">
        <v>0.18</v>
      </c>
      <c r="H427" s="7">
        <v>0.19</v>
      </c>
      <c r="I427" s="4">
        <v>-0.1086</v>
      </c>
      <c r="J427" s="2">
        <v>0.20250000000000001</v>
      </c>
      <c r="K427" s="1" t="s">
        <v>620</v>
      </c>
      <c r="L427" s="4">
        <v>0.25</v>
      </c>
      <c r="M427"/>
      <c r="N427"/>
      <c r="O427"/>
      <c r="P427"/>
      <c r="Q427"/>
    </row>
    <row r="428" spans="1:17" x14ac:dyDescent="0.3">
      <c r="A428" s="1" t="s">
        <v>323</v>
      </c>
      <c r="B428" s="1" t="s">
        <v>78</v>
      </c>
      <c r="C428">
        <v>1992</v>
      </c>
      <c r="D428" s="7">
        <v>0.2</v>
      </c>
      <c r="E428" s="7">
        <v>0.19</v>
      </c>
      <c r="F428" s="7">
        <v>0.22</v>
      </c>
      <c r="G428" s="7">
        <v>0.18</v>
      </c>
      <c r="H428" s="7">
        <v>0.21</v>
      </c>
      <c r="I428" s="4">
        <v>0.1031</v>
      </c>
      <c r="J428" s="2">
        <v>0.2</v>
      </c>
      <c r="K428" s="1" t="s">
        <v>619</v>
      </c>
      <c r="L428" s="4">
        <v>0.2</v>
      </c>
      <c r="M428"/>
      <c r="N428"/>
      <c r="O428"/>
      <c r="P428"/>
      <c r="Q428"/>
    </row>
    <row r="429" spans="1:17" x14ac:dyDescent="0.3">
      <c r="A429" s="1" t="s">
        <v>322</v>
      </c>
      <c r="B429" s="1" t="s">
        <v>78</v>
      </c>
      <c r="C429">
        <v>1993</v>
      </c>
      <c r="D429" s="7">
        <v>0.23</v>
      </c>
      <c r="E429" s="7">
        <v>0.21</v>
      </c>
      <c r="F429" s="7">
        <v>0.3</v>
      </c>
      <c r="G429" s="7">
        <v>0.2</v>
      </c>
      <c r="H429" s="7">
        <v>0.3</v>
      </c>
      <c r="I429" s="4">
        <v>0.43440000000000001</v>
      </c>
      <c r="J429" s="2">
        <v>0.2525</v>
      </c>
      <c r="K429" s="1" t="s">
        <v>619</v>
      </c>
      <c r="L429" s="4">
        <v>0.434782608695652</v>
      </c>
      <c r="M429"/>
      <c r="N429"/>
      <c r="O429"/>
      <c r="P429"/>
      <c r="Q429"/>
    </row>
    <row r="430" spans="1:17" x14ac:dyDescent="0.3">
      <c r="A430" s="1" t="s">
        <v>321</v>
      </c>
      <c r="B430" s="1" t="s">
        <v>78</v>
      </c>
      <c r="C430">
        <v>1994</v>
      </c>
      <c r="D430" s="7">
        <v>0.27</v>
      </c>
      <c r="E430" s="7">
        <v>0.3</v>
      </c>
      <c r="F430" s="7">
        <v>0.31</v>
      </c>
      <c r="G430" s="7">
        <v>0.24</v>
      </c>
      <c r="H430" s="7">
        <v>0.28999999999999998</v>
      </c>
      <c r="I430" s="4">
        <v>-3.5099999999999999E-2</v>
      </c>
      <c r="J430" s="2">
        <v>0.28499999999999998</v>
      </c>
      <c r="K430" s="1" t="s">
        <v>620</v>
      </c>
      <c r="L430" s="4">
        <v>0.25925925925925902</v>
      </c>
      <c r="M430"/>
      <c r="N430"/>
      <c r="O430"/>
      <c r="P430"/>
      <c r="Q430"/>
    </row>
    <row r="431" spans="1:17" x14ac:dyDescent="0.3">
      <c r="A431" s="1" t="s">
        <v>320</v>
      </c>
      <c r="B431" s="1" t="s">
        <v>78</v>
      </c>
      <c r="C431">
        <v>1995</v>
      </c>
      <c r="D431" s="7">
        <v>0.26</v>
      </c>
      <c r="E431" s="7">
        <v>0.28000000000000003</v>
      </c>
      <c r="F431" s="7">
        <v>0.28000000000000003</v>
      </c>
      <c r="G431" s="7">
        <v>0.25</v>
      </c>
      <c r="H431" s="7">
        <v>0.25</v>
      </c>
      <c r="I431" s="4">
        <v>-0.1158</v>
      </c>
      <c r="J431" s="2">
        <v>0.26500000000000001</v>
      </c>
      <c r="K431" s="1" t="s">
        <v>620</v>
      </c>
      <c r="L431" s="4">
        <v>0.115384615384615</v>
      </c>
      <c r="M431"/>
      <c r="N431"/>
      <c r="O431"/>
      <c r="P431"/>
      <c r="Q431"/>
    </row>
    <row r="432" spans="1:17" x14ac:dyDescent="0.3">
      <c r="A432" s="1" t="s">
        <v>319</v>
      </c>
      <c r="B432" s="1" t="s">
        <v>78</v>
      </c>
      <c r="C432">
        <v>1996</v>
      </c>
      <c r="D432" s="7">
        <v>0.25</v>
      </c>
      <c r="E432" s="7">
        <v>0.25</v>
      </c>
      <c r="F432" s="7">
        <v>0.28000000000000003</v>
      </c>
      <c r="G432" s="7">
        <v>0.23</v>
      </c>
      <c r="H432" s="7">
        <v>0.23</v>
      </c>
      <c r="I432" s="4">
        <v>-8.7900000000000006E-2</v>
      </c>
      <c r="J432" s="2">
        <v>0.2475</v>
      </c>
      <c r="K432" s="1" t="s">
        <v>620</v>
      </c>
      <c r="L432" s="4">
        <v>0.2</v>
      </c>
      <c r="M432"/>
      <c r="N432"/>
      <c r="O432"/>
      <c r="P432"/>
      <c r="Q432"/>
    </row>
    <row r="433" spans="1:17" x14ac:dyDescent="0.3">
      <c r="A433" s="1" t="s">
        <v>318</v>
      </c>
      <c r="B433" s="1" t="s">
        <v>78</v>
      </c>
      <c r="C433">
        <v>1997</v>
      </c>
      <c r="D433" s="7">
        <v>0.24</v>
      </c>
      <c r="E433" s="7">
        <v>0.23</v>
      </c>
      <c r="F433" s="7">
        <v>0.27</v>
      </c>
      <c r="G433" s="7">
        <v>0.21</v>
      </c>
      <c r="H433" s="7">
        <v>0.25</v>
      </c>
      <c r="I433" s="4">
        <v>9.1999999999999998E-2</v>
      </c>
      <c r="J433" s="2">
        <v>0.24</v>
      </c>
      <c r="K433" s="1" t="s">
        <v>619</v>
      </c>
      <c r="L433" s="4">
        <v>0.25</v>
      </c>
      <c r="M433"/>
      <c r="N433"/>
      <c r="O433"/>
      <c r="P433"/>
      <c r="Q433"/>
    </row>
    <row r="434" spans="1:17" x14ac:dyDescent="0.3">
      <c r="A434" s="1" t="s">
        <v>317</v>
      </c>
      <c r="B434" s="1" t="s">
        <v>78</v>
      </c>
      <c r="C434">
        <v>1998</v>
      </c>
      <c r="D434" s="7">
        <v>0.26</v>
      </c>
      <c r="E434" s="7">
        <v>0.25</v>
      </c>
      <c r="F434" s="7">
        <v>0.3</v>
      </c>
      <c r="G434" s="7">
        <v>0.23</v>
      </c>
      <c r="H434" s="7">
        <v>0.23</v>
      </c>
      <c r="I434" s="4">
        <v>-8.4199999999999997E-2</v>
      </c>
      <c r="J434" s="2">
        <v>0.2525</v>
      </c>
      <c r="K434" s="1" t="s">
        <v>620</v>
      </c>
      <c r="L434" s="4">
        <v>0.269230769230769</v>
      </c>
      <c r="M434"/>
      <c r="N434"/>
      <c r="O434"/>
      <c r="P434"/>
      <c r="Q434"/>
    </row>
    <row r="435" spans="1:17" x14ac:dyDescent="0.3">
      <c r="A435" s="1" t="s">
        <v>316</v>
      </c>
      <c r="B435" s="1" t="s">
        <v>78</v>
      </c>
      <c r="C435">
        <v>1999</v>
      </c>
      <c r="D435" s="7">
        <v>0.18</v>
      </c>
      <c r="E435" s="7">
        <v>0.23</v>
      </c>
      <c r="F435" s="7">
        <v>0.24</v>
      </c>
      <c r="G435" s="7">
        <v>0.15</v>
      </c>
      <c r="H435" s="7">
        <v>0.16</v>
      </c>
      <c r="I435" s="4">
        <v>-0.30719999999999997</v>
      </c>
      <c r="J435" s="2">
        <v>0.19500000000000001</v>
      </c>
      <c r="K435" s="1" t="s">
        <v>620</v>
      </c>
      <c r="L435" s="4">
        <v>0.5</v>
      </c>
      <c r="M435"/>
      <c r="N435"/>
      <c r="O435"/>
      <c r="P435"/>
      <c r="Q435"/>
    </row>
    <row r="436" spans="1:17" x14ac:dyDescent="0.3">
      <c r="A436" s="1" t="s">
        <v>315</v>
      </c>
      <c r="B436" s="1" t="s">
        <v>78</v>
      </c>
      <c r="C436">
        <v>2000</v>
      </c>
      <c r="D436" s="7">
        <v>0.16</v>
      </c>
      <c r="E436" s="7">
        <v>0.16</v>
      </c>
      <c r="F436" s="7">
        <v>0.19</v>
      </c>
      <c r="G436" s="7">
        <v>0.15</v>
      </c>
      <c r="H436" s="7">
        <v>0.15</v>
      </c>
      <c r="I436" s="4">
        <v>-7.3899999999999993E-2</v>
      </c>
      <c r="J436" s="2">
        <v>0.16250000000000001</v>
      </c>
      <c r="K436" s="1" t="s">
        <v>620</v>
      </c>
      <c r="L436" s="4">
        <v>0.25</v>
      </c>
      <c r="M436"/>
      <c r="N436"/>
      <c r="O436"/>
      <c r="P436"/>
      <c r="Q436"/>
    </row>
    <row r="437" spans="1:17" x14ac:dyDescent="0.3">
      <c r="A437" s="1" t="s">
        <v>314</v>
      </c>
      <c r="B437" s="1" t="s">
        <v>78</v>
      </c>
      <c r="C437">
        <v>2001</v>
      </c>
      <c r="D437" s="7">
        <v>0.16</v>
      </c>
      <c r="E437" s="7">
        <v>0.15</v>
      </c>
      <c r="F437" s="7">
        <v>0.19</v>
      </c>
      <c r="G437" s="7">
        <v>0.14000000000000001</v>
      </c>
      <c r="H437" s="7">
        <v>0.15</v>
      </c>
      <c r="I437" s="4">
        <v>4.3299999999999998E-2</v>
      </c>
      <c r="J437" s="2">
        <v>0.1575</v>
      </c>
      <c r="K437" s="1" t="s">
        <v>619</v>
      </c>
      <c r="L437" s="4">
        <v>0.3125</v>
      </c>
      <c r="M437"/>
      <c r="N437"/>
      <c r="O437"/>
      <c r="P437"/>
      <c r="Q437"/>
    </row>
    <row r="438" spans="1:17" x14ac:dyDescent="0.3">
      <c r="A438" s="1" t="s">
        <v>313</v>
      </c>
      <c r="B438" s="1" t="s">
        <v>78</v>
      </c>
      <c r="C438">
        <v>2002</v>
      </c>
      <c r="D438" s="7">
        <v>0.19</v>
      </c>
      <c r="E438" s="7">
        <v>0.15</v>
      </c>
      <c r="F438" s="7">
        <v>0.23</v>
      </c>
      <c r="G438" s="7">
        <v>0.15</v>
      </c>
      <c r="H438" s="7">
        <v>0.21</v>
      </c>
      <c r="I438" s="4">
        <v>0.38109999999999999</v>
      </c>
      <c r="J438" s="2">
        <v>0.185</v>
      </c>
      <c r="K438" s="1" t="s">
        <v>619</v>
      </c>
      <c r="L438" s="4">
        <v>0.42105263157894701</v>
      </c>
      <c r="M438"/>
      <c r="N438"/>
      <c r="O438"/>
      <c r="P438"/>
      <c r="Q438"/>
    </row>
    <row r="439" spans="1:17" x14ac:dyDescent="0.3">
      <c r="A439" s="1" t="s">
        <v>312</v>
      </c>
      <c r="B439" s="1" t="s">
        <v>78</v>
      </c>
      <c r="C439">
        <v>2003</v>
      </c>
      <c r="D439" s="7">
        <v>0.23</v>
      </c>
      <c r="E439" s="7">
        <v>0.21</v>
      </c>
      <c r="F439" s="7">
        <v>0.28999999999999998</v>
      </c>
      <c r="G439" s="7">
        <v>0.19</v>
      </c>
      <c r="H439" s="7">
        <v>0.28000000000000003</v>
      </c>
      <c r="I439" s="4">
        <v>0.30690000000000001</v>
      </c>
      <c r="J439" s="2">
        <v>0.24249999999999999</v>
      </c>
      <c r="K439" s="1" t="s">
        <v>619</v>
      </c>
      <c r="L439" s="4">
        <v>0.434782608695652</v>
      </c>
      <c r="M439"/>
      <c r="N439"/>
      <c r="O439"/>
      <c r="P439"/>
      <c r="Q439"/>
    </row>
    <row r="440" spans="1:17" x14ac:dyDescent="0.3">
      <c r="A440" s="1" t="s">
        <v>311</v>
      </c>
      <c r="B440" s="1" t="s">
        <v>78</v>
      </c>
      <c r="C440">
        <v>2004</v>
      </c>
      <c r="D440" s="7">
        <v>0.27</v>
      </c>
      <c r="E440" s="7">
        <v>0.28000000000000003</v>
      </c>
      <c r="F440" s="7">
        <v>0.35</v>
      </c>
      <c r="G440" s="7">
        <v>0.2</v>
      </c>
      <c r="H440" s="7">
        <v>0.21</v>
      </c>
      <c r="I440" s="4">
        <v>-0.25490000000000002</v>
      </c>
      <c r="J440" s="2">
        <v>0.26</v>
      </c>
      <c r="K440" s="1" t="s">
        <v>620</v>
      </c>
      <c r="L440" s="4">
        <v>0.55555555555555503</v>
      </c>
      <c r="M440"/>
      <c r="N440"/>
      <c r="O440"/>
      <c r="P440"/>
      <c r="Q440"/>
    </row>
    <row r="441" spans="1:17" x14ac:dyDescent="0.3">
      <c r="A441" s="1" t="s">
        <v>310</v>
      </c>
      <c r="B441" s="1" t="s">
        <v>78</v>
      </c>
      <c r="C441">
        <v>2005</v>
      </c>
      <c r="D441" s="7">
        <v>0.23</v>
      </c>
      <c r="E441" s="7">
        <v>0.2</v>
      </c>
      <c r="F441" s="7">
        <v>0.26</v>
      </c>
      <c r="G441" s="7">
        <v>0.19</v>
      </c>
      <c r="H441" s="7">
        <v>0.22</v>
      </c>
      <c r="I441" s="4">
        <v>4.9599999999999998E-2</v>
      </c>
      <c r="J441" s="2">
        <v>0.2175</v>
      </c>
      <c r="K441" s="1" t="s">
        <v>619</v>
      </c>
      <c r="L441" s="4">
        <v>0.30434782608695699</v>
      </c>
      <c r="M441"/>
      <c r="N441"/>
      <c r="O441"/>
      <c r="P441"/>
      <c r="Q441"/>
    </row>
    <row r="442" spans="1:17" x14ac:dyDescent="0.3">
      <c r="A442" s="1" t="s">
        <v>309</v>
      </c>
      <c r="B442" s="1" t="s">
        <v>78</v>
      </c>
      <c r="C442">
        <v>2006</v>
      </c>
      <c r="D442" s="7">
        <v>0.25</v>
      </c>
      <c r="E442" s="7">
        <v>0.23</v>
      </c>
      <c r="F442" s="7">
        <v>0.3</v>
      </c>
      <c r="G442" s="7">
        <v>0.21</v>
      </c>
      <c r="H442" s="7">
        <v>0.3</v>
      </c>
      <c r="I442" s="4">
        <v>0.35949999999999999</v>
      </c>
      <c r="J442" s="2">
        <v>0.26</v>
      </c>
      <c r="K442" s="1" t="s">
        <v>619</v>
      </c>
      <c r="L442" s="4">
        <v>0.36</v>
      </c>
      <c r="M442"/>
      <c r="N442"/>
      <c r="O442"/>
      <c r="P442"/>
      <c r="Q442"/>
    </row>
    <row r="443" spans="1:17" x14ac:dyDescent="0.3">
      <c r="A443" s="1" t="s">
        <v>308</v>
      </c>
      <c r="B443" s="1" t="s">
        <v>78</v>
      </c>
      <c r="C443">
        <v>2007</v>
      </c>
      <c r="D443" s="7">
        <v>0.36</v>
      </c>
      <c r="E443" s="7">
        <v>0.3</v>
      </c>
      <c r="F443" s="7">
        <v>0.49</v>
      </c>
      <c r="G443" s="7">
        <v>0.28000000000000003</v>
      </c>
      <c r="H443" s="7">
        <v>0.49</v>
      </c>
      <c r="I443" s="4">
        <v>0.67069999999999996</v>
      </c>
      <c r="J443" s="2">
        <v>0.39</v>
      </c>
      <c r="K443" s="1" t="s">
        <v>619</v>
      </c>
      <c r="L443" s="4">
        <v>0.58333333333333304</v>
      </c>
      <c r="M443"/>
      <c r="N443"/>
      <c r="O443"/>
      <c r="P443"/>
      <c r="Q443"/>
    </row>
    <row r="444" spans="1:17" x14ac:dyDescent="0.3">
      <c r="A444" s="1" t="s">
        <v>307</v>
      </c>
      <c r="B444" s="1" t="s">
        <v>78</v>
      </c>
      <c r="C444">
        <v>2008</v>
      </c>
      <c r="D444" s="7">
        <v>0.52</v>
      </c>
      <c r="E444" s="7">
        <v>0.51</v>
      </c>
      <c r="F444" s="7">
        <v>0.71</v>
      </c>
      <c r="G444" s="7">
        <v>0.28999999999999998</v>
      </c>
      <c r="H444" s="7">
        <v>0.34</v>
      </c>
      <c r="I444" s="4">
        <v>-0.32200000000000001</v>
      </c>
      <c r="J444" s="2">
        <v>0.46250000000000002</v>
      </c>
      <c r="K444" s="1" t="s">
        <v>620</v>
      </c>
      <c r="L444" s="4">
        <v>0.80769230769230804</v>
      </c>
      <c r="M444"/>
      <c r="N444"/>
      <c r="O444"/>
      <c r="P444"/>
      <c r="Q444"/>
    </row>
    <row r="445" spans="1:17" x14ac:dyDescent="0.3">
      <c r="A445" s="1" t="s">
        <v>306</v>
      </c>
      <c r="B445" s="1" t="s">
        <v>78</v>
      </c>
      <c r="C445">
        <v>2009</v>
      </c>
      <c r="D445" s="7">
        <v>0.36</v>
      </c>
      <c r="E445" s="7">
        <v>0.34</v>
      </c>
      <c r="F445" s="7">
        <v>0.41</v>
      </c>
      <c r="G445" s="7">
        <v>0.3</v>
      </c>
      <c r="H445" s="7">
        <v>0.41</v>
      </c>
      <c r="I445" s="4">
        <v>0.2132</v>
      </c>
      <c r="J445" s="2">
        <v>0.36499999999999999</v>
      </c>
      <c r="K445" s="1" t="s">
        <v>619</v>
      </c>
      <c r="L445" s="4">
        <v>0.30555555555555602</v>
      </c>
      <c r="M445"/>
      <c r="N445"/>
      <c r="O445"/>
      <c r="P445"/>
      <c r="Q445"/>
    </row>
    <row r="446" spans="1:17" x14ac:dyDescent="0.3">
      <c r="A446" s="1" t="s">
        <v>305</v>
      </c>
      <c r="B446" s="1" t="s">
        <v>78</v>
      </c>
      <c r="C446">
        <v>2010</v>
      </c>
      <c r="D446" s="7">
        <v>0.42</v>
      </c>
      <c r="E446" s="7">
        <v>0.41</v>
      </c>
      <c r="F446" s="7">
        <v>0.57999999999999996</v>
      </c>
      <c r="G446" s="7">
        <v>0.36</v>
      </c>
      <c r="H446" s="7">
        <v>0.57999999999999996</v>
      </c>
      <c r="I446" s="4">
        <v>0.43130000000000002</v>
      </c>
      <c r="J446" s="2">
        <v>0.48249999999999998</v>
      </c>
      <c r="K446" s="1" t="s">
        <v>619</v>
      </c>
      <c r="L446" s="4">
        <v>0.52380952380952395</v>
      </c>
      <c r="M446"/>
      <c r="N446"/>
      <c r="O446"/>
      <c r="P446"/>
      <c r="Q446"/>
    </row>
    <row r="447" spans="1:17" x14ac:dyDescent="0.3">
      <c r="A447" s="1" t="s">
        <v>304</v>
      </c>
      <c r="B447" s="1" t="s">
        <v>78</v>
      </c>
      <c r="C447">
        <v>2011</v>
      </c>
      <c r="D447" s="7">
        <v>0.55000000000000004</v>
      </c>
      <c r="E447" s="7">
        <v>0.57999999999999996</v>
      </c>
      <c r="F447" s="7">
        <v>0.6</v>
      </c>
      <c r="G447" s="7">
        <v>0.48</v>
      </c>
      <c r="H447" s="7">
        <v>0.52</v>
      </c>
      <c r="I447" s="4">
        <v>-0.1011</v>
      </c>
      <c r="J447" s="2">
        <v>0.54500000000000004</v>
      </c>
      <c r="K447" s="1" t="s">
        <v>620</v>
      </c>
      <c r="L447" s="4">
        <v>0.218181818181818</v>
      </c>
      <c r="M447"/>
      <c r="N447"/>
      <c r="O447"/>
      <c r="P447"/>
      <c r="Q447"/>
    </row>
    <row r="448" spans="1:17" x14ac:dyDescent="0.3">
      <c r="A448" s="1" t="s">
        <v>303</v>
      </c>
      <c r="B448" s="1" t="s">
        <v>78</v>
      </c>
      <c r="C448">
        <v>2012</v>
      </c>
      <c r="D448" s="7">
        <v>0.52</v>
      </c>
      <c r="E448" s="7">
        <v>0.53</v>
      </c>
      <c r="F448" s="7">
        <v>0.57999999999999996</v>
      </c>
      <c r="G448" s="7">
        <v>0.47</v>
      </c>
      <c r="H448" s="7">
        <v>0.5</v>
      </c>
      <c r="I448" s="4">
        <v>-5.2699999999999997E-2</v>
      </c>
      <c r="J448" s="2">
        <v>0.52</v>
      </c>
      <c r="K448" s="1" t="s">
        <v>620</v>
      </c>
      <c r="L448" s="4">
        <v>0.21153846153846201</v>
      </c>
      <c r="M448"/>
      <c r="N448"/>
      <c r="O448"/>
      <c r="P448"/>
      <c r="Q448"/>
    </row>
    <row r="449" spans="1:17" x14ac:dyDescent="0.3">
      <c r="A449" s="1" t="s">
        <v>302</v>
      </c>
      <c r="B449" s="1" t="s">
        <v>78</v>
      </c>
      <c r="C449">
        <v>2013</v>
      </c>
      <c r="D449" s="7">
        <v>0.46</v>
      </c>
      <c r="E449" s="7">
        <v>0.51</v>
      </c>
      <c r="F449" s="7">
        <v>0.53</v>
      </c>
      <c r="G449" s="7">
        <v>0.39</v>
      </c>
      <c r="H449" s="7">
        <v>0.39</v>
      </c>
      <c r="I449" s="4">
        <v>-0.21210000000000001</v>
      </c>
      <c r="J449" s="2">
        <v>0.45500000000000002</v>
      </c>
      <c r="K449" s="1" t="s">
        <v>620</v>
      </c>
      <c r="L449" s="4">
        <v>0.30434782608695699</v>
      </c>
      <c r="M449"/>
      <c r="N449"/>
      <c r="O449"/>
      <c r="P449"/>
      <c r="Q449"/>
    </row>
    <row r="450" spans="1:17" x14ac:dyDescent="0.3">
      <c r="A450" s="1" t="s">
        <v>301</v>
      </c>
      <c r="B450" s="1" t="s">
        <v>78</v>
      </c>
      <c r="C450">
        <v>2014</v>
      </c>
      <c r="D450" s="7">
        <v>0.37</v>
      </c>
      <c r="E450" s="7">
        <v>0.39</v>
      </c>
      <c r="F450" s="7">
        <v>0.44</v>
      </c>
      <c r="G450" s="7">
        <v>0.31</v>
      </c>
      <c r="H450" s="7">
        <v>0.32</v>
      </c>
      <c r="I450" s="4">
        <v>-0.17810000000000001</v>
      </c>
      <c r="J450" s="2">
        <v>0.36499999999999999</v>
      </c>
      <c r="K450" s="1" t="s">
        <v>620</v>
      </c>
      <c r="L450" s="4">
        <v>0.35135135135135098</v>
      </c>
      <c r="M450"/>
      <c r="N450"/>
      <c r="O450"/>
      <c r="P450"/>
      <c r="Q450"/>
    </row>
    <row r="451" spans="1:17" x14ac:dyDescent="0.3">
      <c r="A451" s="1" t="s">
        <v>300</v>
      </c>
      <c r="B451" s="1" t="s">
        <v>78</v>
      </c>
      <c r="C451">
        <v>2015</v>
      </c>
      <c r="D451" s="7">
        <v>0.31</v>
      </c>
      <c r="E451" s="7">
        <v>0.32</v>
      </c>
      <c r="F451" s="7">
        <v>0.35</v>
      </c>
      <c r="G451" s="7">
        <v>0.26</v>
      </c>
      <c r="H451" s="7">
        <v>0.31</v>
      </c>
      <c r="I451" s="4">
        <v>-4.36E-2</v>
      </c>
      <c r="J451" s="2">
        <v>0.31</v>
      </c>
      <c r="K451" s="1" t="s">
        <v>620</v>
      </c>
      <c r="L451" s="4">
        <v>0.29032258064516098</v>
      </c>
      <c r="M451"/>
      <c r="N451"/>
      <c r="O451"/>
      <c r="P451"/>
      <c r="Q451"/>
    </row>
    <row r="452" spans="1:17" x14ac:dyDescent="0.3">
      <c r="A452" s="1" t="s">
        <v>299</v>
      </c>
      <c r="B452" s="1" t="s">
        <v>78</v>
      </c>
      <c r="C452">
        <v>2016</v>
      </c>
      <c r="D452" s="7">
        <v>0.33</v>
      </c>
      <c r="E452" s="7">
        <v>0.3</v>
      </c>
      <c r="F452" s="7">
        <v>0.38</v>
      </c>
      <c r="G452" s="7">
        <v>0.28999999999999998</v>
      </c>
      <c r="H452" s="7">
        <v>0.35</v>
      </c>
      <c r="I452" s="4">
        <v>0.127</v>
      </c>
      <c r="J452" s="2">
        <v>0.33</v>
      </c>
      <c r="K452" s="1" t="s">
        <v>619</v>
      </c>
      <c r="L452" s="4">
        <v>0.27272727272727298</v>
      </c>
      <c r="M452"/>
      <c r="N452"/>
      <c r="O452"/>
      <c r="P452"/>
      <c r="Q452"/>
    </row>
    <row r="453" spans="1:17" x14ac:dyDescent="0.3">
      <c r="A453" s="1" t="s">
        <v>298</v>
      </c>
      <c r="B453" s="1" t="s">
        <v>78</v>
      </c>
      <c r="C453">
        <v>2017</v>
      </c>
      <c r="D453" s="7">
        <v>0.33</v>
      </c>
      <c r="E453" s="7">
        <v>0.35</v>
      </c>
      <c r="F453" s="7">
        <v>0.36</v>
      </c>
      <c r="G453" s="7">
        <v>0.31</v>
      </c>
      <c r="H453" s="7">
        <v>0.33</v>
      </c>
      <c r="I453" s="4">
        <v>-4.02E-2</v>
      </c>
      <c r="J453" s="2">
        <v>0.33750000000000002</v>
      </c>
      <c r="K453" s="1" t="s">
        <v>620</v>
      </c>
      <c r="L453" s="4">
        <v>0.15151515151515099</v>
      </c>
      <c r="M453"/>
      <c r="N453"/>
      <c r="O453"/>
      <c r="P453"/>
      <c r="Q453"/>
    </row>
    <row r="454" spans="1:17" x14ac:dyDescent="0.3">
      <c r="A454" s="1" t="s">
        <v>297</v>
      </c>
      <c r="B454" s="1" t="s">
        <v>78</v>
      </c>
      <c r="C454">
        <v>2018</v>
      </c>
      <c r="D454" s="7">
        <v>0.3</v>
      </c>
      <c r="E454" s="7">
        <v>0.34</v>
      </c>
      <c r="F454" s="7">
        <v>0.34</v>
      </c>
      <c r="G454" s="7">
        <v>0.27</v>
      </c>
      <c r="H454" s="7">
        <v>0.28000000000000003</v>
      </c>
      <c r="I454" s="4">
        <v>-0.16350000000000001</v>
      </c>
      <c r="J454" s="2">
        <v>0.3075</v>
      </c>
      <c r="K454" s="1" t="s">
        <v>620</v>
      </c>
      <c r="L454" s="4">
        <v>0.233333333333333</v>
      </c>
      <c r="M454"/>
      <c r="N454"/>
      <c r="O454"/>
      <c r="P454"/>
      <c r="Q454"/>
    </row>
    <row r="455" spans="1:17" x14ac:dyDescent="0.3">
      <c r="A455" s="1" t="s">
        <v>296</v>
      </c>
      <c r="B455" s="1" t="s">
        <v>78</v>
      </c>
      <c r="C455">
        <v>2019</v>
      </c>
      <c r="D455" s="7">
        <v>0.28999999999999998</v>
      </c>
      <c r="E455" s="7">
        <v>0.28000000000000003</v>
      </c>
      <c r="F455" s="7">
        <v>0.35</v>
      </c>
      <c r="G455" s="7">
        <v>0.27</v>
      </c>
      <c r="H455" s="7">
        <v>0.35</v>
      </c>
      <c r="I455" s="4">
        <v>0.249</v>
      </c>
      <c r="J455" s="2">
        <v>0.3125</v>
      </c>
      <c r="K455" s="1" t="s">
        <v>619</v>
      </c>
      <c r="L455" s="4">
        <v>0.27586206896551702</v>
      </c>
      <c r="M455"/>
      <c r="N455"/>
      <c r="O455"/>
      <c r="P455"/>
      <c r="Q455"/>
    </row>
    <row r="456" spans="1:17" x14ac:dyDescent="0.3">
      <c r="A456" s="1" t="s">
        <v>295</v>
      </c>
      <c r="B456" s="1" t="s">
        <v>78</v>
      </c>
      <c r="C456">
        <v>2020</v>
      </c>
      <c r="D456" s="7">
        <v>0.31</v>
      </c>
      <c r="E456" s="7">
        <v>0.35</v>
      </c>
      <c r="F456" s="7">
        <v>0.43</v>
      </c>
      <c r="G456" s="7">
        <v>0.25</v>
      </c>
      <c r="H456" s="7">
        <v>0.43</v>
      </c>
      <c r="I456" s="4">
        <v>0.22700000000000001</v>
      </c>
      <c r="J456" s="2">
        <v>0.36499999999999999</v>
      </c>
      <c r="K456" s="1" t="s">
        <v>619</v>
      </c>
      <c r="L456" s="4">
        <v>0.58064516129032195</v>
      </c>
      <c r="M456"/>
      <c r="N456"/>
      <c r="O456"/>
      <c r="P456"/>
      <c r="Q456"/>
    </row>
    <row r="457" spans="1:17" x14ac:dyDescent="0.3">
      <c r="A457" s="1" t="s">
        <v>294</v>
      </c>
      <c r="B457" s="1" t="s">
        <v>78</v>
      </c>
      <c r="C457">
        <v>2021</v>
      </c>
      <c r="D457" s="7">
        <v>0.57999999999999996</v>
      </c>
      <c r="E457" s="7">
        <v>0.42</v>
      </c>
      <c r="F457" s="7">
        <v>0.72</v>
      </c>
      <c r="G457" s="7">
        <v>0.42</v>
      </c>
      <c r="H457" s="7">
        <v>0.56000000000000005</v>
      </c>
      <c r="I457" s="4">
        <v>0.3261</v>
      </c>
      <c r="J457" s="2">
        <v>0.53</v>
      </c>
      <c r="K457" s="1" t="s">
        <v>619</v>
      </c>
      <c r="L457" s="4">
        <v>0.51724137931034497</v>
      </c>
      <c r="M457"/>
      <c r="N457"/>
      <c r="O457"/>
      <c r="P457"/>
      <c r="Q457"/>
    </row>
    <row r="458" spans="1:17" x14ac:dyDescent="0.3">
      <c r="A458" s="1" t="s">
        <v>293</v>
      </c>
      <c r="B458" s="1" t="s">
        <v>78</v>
      </c>
      <c r="C458">
        <v>2022</v>
      </c>
      <c r="D458" s="7">
        <v>0.73</v>
      </c>
      <c r="E458" s="7">
        <v>0.56000000000000005</v>
      </c>
      <c r="F458" s="7">
        <v>0.88</v>
      </c>
      <c r="G458" s="7">
        <v>0.56000000000000005</v>
      </c>
      <c r="H458" s="7">
        <v>0.7</v>
      </c>
      <c r="I458" s="4">
        <v>0.24149999999999999</v>
      </c>
      <c r="J458" s="2">
        <v>0.67500000000000004</v>
      </c>
      <c r="K458" s="1" t="s">
        <v>619</v>
      </c>
      <c r="L458" s="4">
        <v>0.43835616438356201</v>
      </c>
      <c r="M458"/>
      <c r="N458"/>
      <c r="O458"/>
      <c r="P458"/>
      <c r="Q458"/>
    </row>
    <row r="459" spans="1:17" x14ac:dyDescent="0.3">
      <c r="A459" s="1" t="s">
        <v>292</v>
      </c>
      <c r="B459" s="1" t="s">
        <v>78</v>
      </c>
      <c r="C459">
        <v>2023</v>
      </c>
      <c r="D459" s="7">
        <v>0.79</v>
      </c>
      <c r="E459" s="7">
        <v>0.7</v>
      </c>
      <c r="F459" s="7">
        <v>0.93</v>
      </c>
      <c r="G459" s="7">
        <v>0.64</v>
      </c>
      <c r="H459" s="7">
        <v>0.87</v>
      </c>
      <c r="I459" s="4">
        <v>0.2407</v>
      </c>
      <c r="J459" s="2">
        <v>0.78500000000000003</v>
      </c>
      <c r="K459" s="1" t="s">
        <v>619</v>
      </c>
      <c r="L459" s="4">
        <v>0.367088607594937</v>
      </c>
      <c r="M459"/>
      <c r="N459"/>
      <c r="O459"/>
      <c r="P459"/>
      <c r="Q459"/>
    </row>
    <row r="460" spans="1:17" x14ac:dyDescent="0.3">
      <c r="A460" s="1" t="s">
        <v>291</v>
      </c>
      <c r="B460" s="1" t="s">
        <v>78</v>
      </c>
      <c r="C460">
        <v>2024</v>
      </c>
      <c r="D460" s="7">
        <v>0.87</v>
      </c>
      <c r="E460" s="7">
        <v>0.87</v>
      </c>
      <c r="F460" s="7">
        <v>0.91</v>
      </c>
      <c r="G460" s="7">
        <v>0.73</v>
      </c>
      <c r="H460" s="7">
        <v>0.98</v>
      </c>
      <c r="I460" s="4">
        <v>0.12640000000000001</v>
      </c>
      <c r="J460" s="2">
        <v>0.87250000000000005</v>
      </c>
      <c r="K460" s="1" t="s">
        <v>619</v>
      </c>
      <c r="L460" s="4">
        <v>0.20689655172413801</v>
      </c>
      <c r="M460"/>
      <c r="N460"/>
      <c r="O460"/>
      <c r="P460"/>
      <c r="Q460"/>
    </row>
    <row r="461" spans="1:17" x14ac:dyDescent="0.3">
      <c r="A461" s="1" t="s">
        <v>416</v>
      </c>
      <c r="B461" s="1" t="s">
        <v>79</v>
      </c>
      <c r="C461">
        <v>1963</v>
      </c>
      <c r="D461" s="7">
        <v>7.5200000000000003E-2</v>
      </c>
      <c r="E461" s="7">
        <v>4.2500000000000003E-2</v>
      </c>
      <c r="F461" s="7">
        <v>0.1183</v>
      </c>
      <c r="G461" s="7">
        <v>4.2500000000000003E-2</v>
      </c>
      <c r="H461" s="7">
        <v>0.1037</v>
      </c>
      <c r="I461" s="4">
        <v>1.4987999999999999</v>
      </c>
      <c r="J461" s="2">
        <v>7.6799999999999993E-2</v>
      </c>
      <c r="K461" s="1" t="s">
        <v>619</v>
      </c>
      <c r="L461" s="4">
        <v>1.0079787234042601</v>
      </c>
      <c r="M461"/>
      <c r="N461"/>
      <c r="O461"/>
      <c r="P461"/>
      <c r="Q461"/>
    </row>
    <row r="462" spans="1:17" x14ac:dyDescent="0.3">
      <c r="A462" s="1" t="s">
        <v>415</v>
      </c>
      <c r="B462" s="1" t="s">
        <v>79</v>
      </c>
      <c r="C462">
        <v>1964</v>
      </c>
      <c r="D462" s="7">
        <v>5.7099999999999998E-2</v>
      </c>
      <c r="E462" s="7">
        <v>0.1004</v>
      </c>
      <c r="F462" s="7">
        <v>0.11</v>
      </c>
      <c r="G462" s="7">
        <v>2.4500000000000001E-2</v>
      </c>
      <c r="H462" s="7">
        <v>2.5000000000000001E-2</v>
      </c>
      <c r="I462" s="4">
        <v>-0.75890000000000002</v>
      </c>
      <c r="J462" s="2">
        <v>6.5000000000000002E-2</v>
      </c>
      <c r="K462" s="1" t="s">
        <v>620</v>
      </c>
      <c r="L462" s="4">
        <v>1.49737302977233</v>
      </c>
      <c r="M462"/>
      <c r="N462"/>
      <c r="O462"/>
      <c r="P462"/>
      <c r="Q462"/>
    </row>
    <row r="463" spans="1:17" x14ac:dyDescent="0.3">
      <c r="A463" s="1" t="s">
        <v>414</v>
      </c>
      <c r="B463" s="1" t="s">
        <v>79</v>
      </c>
      <c r="C463">
        <v>1965</v>
      </c>
      <c r="D463" s="7">
        <v>2.2700000000000001E-2</v>
      </c>
      <c r="E463" s="7">
        <v>2.4299999999999999E-2</v>
      </c>
      <c r="F463" s="7">
        <v>2.9000000000000001E-2</v>
      </c>
      <c r="G463" s="7">
        <v>1.5699999999999999E-2</v>
      </c>
      <c r="H463" s="7">
        <v>2.3E-2</v>
      </c>
      <c r="I463" s="4">
        <v>-0.08</v>
      </c>
      <c r="J463" s="2">
        <v>2.3E-2</v>
      </c>
      <c r="K463" s="1" t="s">
        <v>620</v>
      </c>
      <c r="L463" s="4">
        <v>0.58590308370044097</v>
      </c>
      <c r="M463"/>
      <c r="N463"/>
      <c r="O463"/>
      <c r="P463"/>
      <c r="Q463"/>
    </row>
    <row r="464" spans="1:17" x14ac:dyDescent="0.3">
      <c r="A464" s="1" t="s">
        <v>413</v>
      </c>
      <c r="B464" s="1" t="s">
        <v>79</v>
      </c>
      <c r="C464">
        <v>1966</v>
      </c>
      <c r="D464" s="7">
        <v>1.9300000000000001E-2</v>
      </c>
      <c r="E464" s="7">
        <v>2.2599999999999999E-2</v>
      </c>
      <c r="F464" s="7">
        <v>2.7300000000000001E-2</v>
      </c>
      <c r="G464" s="7">
        <v>1.32E-2</v>
      </c>
      <c r="H464" s="7">
        <v>1.32E-2</v>
      </c>
      <c r="I464" s="4">
        <v>-0.42609999999999998</v>
      </c>
      <c r="J464" s="2">
        <v>1.9099999999999999E-2</v>
      </c>
      <c r="K464" s="1" t="s">
        <v>620</v>
      </c>
      <c r="L464" s="4">
        <v>0.73056994818652898</v>
      </c>
      <c r="M464"/>
      <c r="N464"/>
      <c r="O464"/>
      <c r="P464"/>
      <c r="Q464"/>
    </row>
    <row r="465" spans="1:17" x14ac:dyDescent="0.3">
      <c r="A465" s="1" t="s">
        <v>412</v>
      </c>
      <c r="B465" s="1" t="s">
        <v>79</v>
      </c>
      <c r="C465">
        <v>1967</v>
      </c>
      <c r="D465" s="7">
        <v>2.18E-2</v>
      </c>
      <c r="E465" s="7">
        <v>1.29E-2</v>
      </c>
      <c r="F465" s="7">
        <v>3.4500000000000003E-2</v>
      </c>
      <c r="G465" s="7">
        <v>1.2500000000000001E-2</v>
      </c>
      <c r="H465" s="7">
        <v>2.52E-2</v>
      </c>
      <c r="I465" s="4">
        <v>0.90910000000000002</v>
      </c>
      <c r="J465" s="2">
        <v>2.1299999999999999E-2</v>
      </c>
      <c r="K465" s="1" t="s">
        <v>619</v>
      </c>
      <c r="L465" s="4">
        <v>1.0091743119266099</v>
      </c>
      <c r="M465"/>
      <c r="N465"/>
      <c r="O465"/>
      <c r="P465"/>
      <c r="Q465"/>
    </row>
    <row r="466" spans="1:17" x14ac:dyDescent="0.3">
      <c r="A466" s="1" t="s">
        <v>411</v>
      </c>
      <c r="B466" s="1" t="s">
        <v>79</v>
      </c>
      <c r="C466">
        <v>1968</v>
      </c>
      <c r="D466" s="7">
        <v>2.2100000000000002E-2</v>
      </c>
      <c r="E466" s="7">
        <v>2.5399999999999999E-2</v>
      </c>
      <c r="F466" s="7">
        <v>3.1800000000000002E-2</v>
      </c>
      <c r="G466" s="7">
        <v>1.4800000000000001E-2</v>
      </c>
      <c r="H466" s="7">
        <v>3.0800000000000001E-2</v>
      </c>
      <c r="I466" s="4">
        <v>0.22220000000000001</v>
      </c>
      <c r="J466" s="2">
        <v>2.5700000000000001E-2</v>
      </c>
      <c r="K466" s="1" t="s">
        <v>619</v>
      </c>
      <c r="L466" s="4">
        <v>0.76923076923076905</v>
      </c>
      <c r="M466"/>
      <c r="N466"/>
      <c r="O466"/>
      <c r="P466"/>
      <c r="Q466"/>
    </row>
    <row r="467" spans="1:17" x14ac:dyDescent="0.3">
      <c r="A467" s="1" t="s">
        <v>410</v>
      </c>
      <c r="B467" s="1" t="s">
        <v>79</v>
      </c>
      <c r="C467">
        <v>1969</v>
      </c>
      <c r="D467" s="7">
        <v>3.4700000000000002E-2</v>
      </c>
      <c r="E467" s="7">
        <v>3.1099999999999999E-2</v>
      </c>
      <c r="F467" s="7">
        <v>4.1300000000000003E-2</v>
      </c>
      <c r="G467" s="7">
        <v>2.76E-2</v>
      </c>
      <c r="H467" s="7">
        <v>2.8799999999999999E-2</v>
      </c>
      <c r="I467" s="4">
        <v>-6.4899999999999999E-2</v>
      </c>
      <c r="J467" s="2">
        <v>3.2199999999999999E-2</v>
      </c>
      <c r="K467" s="1" t="s">
        <v>620</v>
      </c>
      <c r="L467" s="4">
        <v>0.39481268011527398</v>
      </c>
      <c r="M467"/>
      <c r="N467"/>
      <c r="O467"/>
      <c r="P467"/>
      <c r="Q467"/>
    </row>
    <row r="468" spans="1:17" x14ac:dyDescent="0.3">
      <c r="A468" s="1" t="s">
        <v>409</v>
      </c>
      <c r="B468" s="1" t="s">
        <v>79</v>
      </c>
      <c r="C468">
        <v>1970</v>
      </c>
      <c r="D468" s="7">
        <v>3.78E-2</v>
      </c>
      <c r="E468" s="7">
        <v>2.9700000000000001E-2</v>
      </c>
      <c r="F468" s="7">
        <v>4.3999999999999997E-2</v>
      </c>
      <c r="G468" s="7">
        <v>2.9700000000000001E-2</v>
      </c>
      <c r="H468" s="7">
        <v>4.36E-2</v>
      </c>
      <c r="I468" s="4">
        <v>0.51390000000000002</v>
      </c>
      <c r="J468" s="2">
        <v>3.6799999999999999E-2</v>
      </c>
      <c r="K468" s="1" t="s">
        <v>619</v>
      </c>
      <c r="L468" s="4">
        <v>0.37830687830687798</v>
      </c>
      <c r="M468"/>
      <c r="N468"/>
      <c r="O468"/>
      <c r="P468"/>
      <c r="Q468"/>
    </row>
    <row r="469" spans="1:17" x14ac:dyDescent="0.3">
      <c r="A469" s="1" t="s">
        <v>408</v>
      </c>
      <c r="B469" s="1" t="s">
        <v>79</v>
      </c>
      <c r="C469">
        <v>1971</v>
      </c>
      <c r="D469" s="7">
        <v>4.6800000000000001E-2</v>
      </c>
      <c r="E469" s="7">
        <v>4.3900000000000002E-2</v>
      </c>
      <c r="F469" s="7">
        <v>7.9899999999999999E-2</v>
      </c>
      <c r="G469" s="7">
        <v>3.7999999999999999E-2</v>
      </c>
      <c r="H469" s="7">
        <v>7.9899999999999999E-2</v>
      </c>
      <c r="I469" s="4">
        <v>0.83260000000000001</v>
      </c>
      <c r="J469" s="2">
        <v>6.0400000000000002E-2</v>
      </c>
      <c r="K469" s="1" t="s">
        <v>619</v>
      </c>
      <c r="L469" s="4">
        <v>0.895299145299145</v>
      </c>
      <c r="M469"/>
      <c r="N469"/>
      <c r="O469"/>
      <c r="P469"/>
      <c r="Q469"/>
    </row>
    <row r="470" spans="1:17" x14ac:dyDescent="0.3">
      <c r="A470" s="1" t="s">
        <v>407</v>
      </c>
      <c r="B470" s="1" t="s">
        <v>79</v>
      </c>
      <c r="C470">
        <v>1972</v>
      </c>
      <c r="D470" s="7">
        <v>7.5499999999999998E-2</v>
      </c>
      <c r="E470" s="7">
        <v>8.4900000000000003E-2</v>
      </c>
      <c r="F470" s="7">
        <v>0.10100000000000001</v>
      </c>
      <c r="G470" s="7">
        <v>5.1400000000000001E-2</v>
      </c>
      <c r="H470" s="7">
        <v>9.9599999999999994E-2</v>
      </c>
      <c r="I470" s="4">
        <v>0.24660000000000001</v>
      </c>
      <c r="J470" s="2">
        <v>8.4199999999999997E-2</v>
      </c>
      <c r="K470" s="1" t="s">
        <v>619</v>
      </c>
      <c r="L470" s="4">
        <v>0.65695364238410603</v>
      </c>
      <c r="M470"/>
      <c r="N470"/>
      <c r="O470"/>
      <c r="P470"/>
      <c r="Q470"/>
    </row>
    <row r="471" spans="1:17" x14ac:dyDescent="0.3">
      <c r="A471" s="1" t="s">
        <v>406</v>
      </c>
      <c r="B471" s="1" t="s">
        <v>79</v>
      </c>
      <c r="C471">
        <v>1973</v>
      </c>
      <c r="D471" s="7">
        <v>9.4899999999999998E-2</v>
      </c>
      <c r="E471" s="7">
        <v>9.74E-2</v>
      </c>
      <c r="F471" s="7">
        <v>0.1333</v>
      </c>
      <c r="G471" s="7">
        <v>8.3400000000000002E-2</v>
      </c>
      <c r="H471" s="7">
        <v>0.12330000000000001</v>
      </c>
      <c r="I471" s="4">
        <v>0.23799999999999999</v>
      </c>
      <c r="J471" s="2">
        <v>0.1094</v>
      </c>
      <c r="K471" s="1" t="s">
        <v>619</v>
      </c>
      <c r="L471" s="4">
        <v>0.52581664910432002</v>
      </c>
      <c r="M471"/>
      <c r="N471"/>
      <c r="O471"/>
      <c r="P471"/>
      <c r="Q471"/>
    </row>
    <row r="472" spans="1:17" x14ac:dyDescent="0.3">
      <c r="A472" s="1" t="s">
        <v>405</v>
      </c>
      <c r="B472" s="1" t="s">
        <v>79</v>
      </c>
      <c r="C472">
        <v>1974</v>
      </c>
      <c r="D472" s="7">
        <v>0.2908</v>
      </c>
      <c r="E472" s="7">
        <v>0.1283</v>
      </c>
      <c r="F472" s="7">
        <v>0.65200000000000002</v>
      </c>
      <c r="G472" s="7">
        <v>0.12330000000000001</v>
      </c>
      <c r="H472" s="7">
        <v>0.47199999999999998</v>
      </c>
      <c r="I472" s="4">
        <v>2.8281000000000001</v>
      </c>
      <c r="J472" s="2">
        <v>0.34389999999999998</v>
      </c>
      <c r="K472" s="1" t="s">
        <v>619</v>
      </c>
      <c r="L472" s="4">
        <v>1.8180880330123801</v>
      </c>
      <c r="M472"/>
      <c r="N472"/>
      <c r="O472"/>
      <c r="P472"/>
      <c r="Q472"/>
    </row>
    <row r="473" spans="1:17" x14ac:dyDescent="0.3">
      <c r="A473" s="1" t="s">
        <v>404</v>
      </c>
      <c r="B473" s="1" t="s">
        <v>79</v>
      </c>
      <c r="C473">
        <v>1975</v>
      </c>
      <c r="D473" s="7">
        <v>0.20369999999999999</v>
      </c>
      <c r="E473" s="7">
        <v>0.45200000000000001</v>
      </c>
      <c r="F473" s="7">
        <v>0.45600000000000002</v>
      </c>
      <c r="G473" s="7">
        <v>0.1192</v>
      </c>
      <c r="H473" s="7">
        <v>0.14399999999999999</v>
      </c>
      <c r="I473" s="4">
        <v>-0.69489999999999996</v>
      </c>
      <c r="J473" s="2">
        <v>0.2928</v>
      </c>
      <c r="K473" s="1" t="s">
        <v>620</v>
      </c>
      <c r="L473" s="4">
        <v>1.6534118802160001</v>
      </c>
      <c r="M473"/>
      <c r="N473"/>
      <c r="O473"/>
      <c r="P473"/>
      <c r="Q473"/>
    </row>
    <row r="474" spans="1:17" x14ac:dyDescent="0.3">
      <c r="A474" s="1" t="s">
        <v>403</v>
      </c>
      <c r="B474" s="1" t="s">
        <v>79</v>
      </c>
      <c r="C474">
        <v>1976</v>
      </c>
      <c r="D474" s="7">
        <v>0.1187</v>
      </c>
      <c r="E474" s="7">
        <v>0.14080000000000001</v>
      </c>
      <c r="F474" s="7">
        <v>0.15740000000000001</v>
      </c>
      <c r="G474" s="7">
        <v>7.6399999999999996E-2</v>
      </c>
      <c r="H474" s="7">
        <v>8.0399999999999999E-2</v>
      </c>
      <c r="I474" s="4">
        <v>-0.44169999999999998</v>
      </c>
      <c r="J474" s="2">
        <v>0.1138</v>
      </c>
      <c r="K474" s="1" t="s">
        <v>620</v>
      </c>
      <c r="L474" s="4">
        <v>0.68239258635214795</v>
      </c>
      <c r="M474"/>
      <c r="N474"/>
      <c r="O474"/>
      <c r="P474"/>
      <c r="Q474"/>
    </row>
    <row r="475" spans="1:17" x14ac:dyDescent="0.3">
      <c r="A475" s="1" t="s">
        <v>402</v>
      </c>
      <c r="B475" s="1" t="s">
        <v>79</v>
      </c>
      <c r="C475">
        <v>1977</v>
      </c>
      <c r="D475" s="7">
        <v>8.6400000000000005E-2</v>
      </c>
      <c r="E475" s="7">
        <v>8.1500000000000003E-2</v>
      </c>
      <c r="F475" s="7">
        <v>0.1084</v>
      </c>
      <c r="G475" s="7">
        <v>6.8199999999999997E-2</v>
      </c>
      <c r="H475" s="7">
        <v>9.4E-2</v>
      </c>
      <c r="I475" s="4">
        <v>0.16919999999999999</v>
      </c>
      <c r="J475" s="2">
        <v>8.7999999999999995E-2</v>
      </c>
      <c r="K475" s="1" t="s">
        <v>619</v>
      </c>
      <c r="L475" s="4">
        <v>0.46527777777777801</v>
      </c>
      <c r="M475"/>
      <c r="N475"/>
      <c r="O475"/>
      <c r="P475"/>
      <c r="Q475"/>
    </row>
    <row r="476" spans="1:17" x14ac:dyDescent="0.3">
      <c r="A476" s="1" t="s">
        <v>401</v>
      </c>
      <c r="B476" s="1" t="s">
        <v>79</v>
      </c>
      <c r="C476">
        <v>1978</v>
      </c>
      <c r="D476" s="7">
        <v>8.0699999999999994E-2</v>
      </c>
      <c r="E476" s="7">
        <v>9.3899999999999997E-2</v>
      </c>
      <c r="F476" s="7">
        <v>9.7500000000000003E-2</v>
      </c>
      <c r="G476" s="7">
        <v>6.1199999999999997E-2</v>
      </c>
      <c r="H476" s="7">
        <v>8.43E-2</v>
      </c>
      <c r="I476" s="4">
        <v>-0.1032</v>
      </c>
      <c r="J476" s="2">
        <v>8.4199999999999997E-2</v>
      </c>
      <c r="K476" s="1" t="s">
        <v>620</v>
      </c>
      <c r="L476" s="4">
        <v>0.44981412639405199</v>
      </c>
      <c r="M476"/>
      <c r="N476"/>
      <c r="O476"/>
      <c r="P476"/>
      <c r="Q476"/>
    </row>
    <row r="477" spans="1:17" x14ac:dyDescent="0.3">
      <c r="A477" s="1" t="s">
        <v>400</v>
      </c>
      <c r="B477" s="1" t="s">
        <v>79</v>
      </c>
      <c r="C477">
        <v>1979</v>
      </c>
      <c r="D477" s="7">
        <v>0.1022</v>
      </c>
      <c r="E477" s="7">
        <v>8.3799999999999999E-2</v>
      </c>
      <c r="F477" s="7">
        <v>0.16980000000000001</v>
      </c>
      <c r="G477" s="7">
        <v>7.51E-2</v>
      </c>
      <c r="H477" s="7">
        <v>0.16309999999999999</v>
      </c>
      <c r="I477" s="4">
        <v>0.93479999999999996</v>
      </c>
      <c r="J477" s="2">
        <v>0.123</v>
      </c>
      <c r="K477" s="1" t="s">
        <v>619</v>
      </c>
      <c r="L477" s="4">
        <v>0.92661448140900204</v>
      </c>
      <c r="M477"/>
      <c r="N477"/>
      <c r="O477"/>
      <c r="P477"/>
      <c r="Q477"/>
    </row>
    <row r="478" spans="1:17" x14ac:dyDescent="0.3">
      <c r="A478" s="1" t="s">
        <v>399</v>
      </c>
      <c r="B478" s="1" t="s">
        <v>79</v>
      </c>
      <c r="C478">
        <v>1980</v>
      </c>
      <c r="D478" s="7">
        <v>0.30349999999999999</v>
      </c>
      <c r="E478" s="7">
        <v>0.15640000000000001</v>
      </c>
      <c r="F478" s="7">
        <v>0.45639999999999997</v>
      </c>
      <c r="G478" s="7">
        <v>0.1537</v>
      </c>
      <c r="H478" s="7">
        <v>0.30580000000000002</v>
      </c>
      <c r="I478" s="4">
        <v>0.87490000000000001</v>
      </c>
      <c r="J478" s="2">
        <v>0.2681</v>
      </c>
      <c r="K478" s="1" t="s">
        <v>619</v>
      </c>
      <c r="L478" s="4">
        <v>0.99736408566721602</v>
      </c>
      <c r="M478"/>
      <c r="N478"/>
      <c r="O478"/>
      <c r="P478"/>
      <c r="Q478"/>
    </row>
    <row r="479" spans="1:17" x14ac:dyDescent="0.3">
      <c r="A479" s="1" t="s">
        <v>398</v>
      </c>
      <c r="B479" s="1" t="s">
        <v>79</v>
      </c>
      <c r="C479">
        <v>1981</v>
      </c>
      <c r="D479" s="7">
        <v>0.1726</v>
      </c>
      <c r="E479" s="7">
        <v>0.33229999999999998</v>
      </c>
      <c r="F479" s="7">
        <v>0.33779999999999999</v>
      </c>
      <c r="G479" s="7">
        <v>0.1076</v>
      </c>
      <c r="H479" s="7">
        <v>0.1318</v>
      </c>
      <c r="I479" s="4">
        <v>-0.56899999999999995</v>
      </c>
      <c r="J479" s="2">
        <v>0.22739999999999999</v>
      </c>
      <c r="K479" s="1" t="s">
        <v>620</v>
      </c>
      <c r="L479" s="4">
        <v>1.3337195828505199</v>
      </c>
      <c r="M479"/>
      <c r="N479"/>
      <c r="O479"/>
      <c r="P479"/>
      <c r="Q479"/>
    </row>
    <row r="480" spans="1:17" x14ac:dyDescent="0.3">
      <c r="A480" s="1" t="s">
        <v>397</v>
      </c>
      <c r="B480" s="1" t="s">
        <v>79</v>
      </c>
      <c r="C480">
        <v>1982</v>
      </c>
      <c r="D480" s="7">
        <v>8.9099999999999999E-2</v>
      </c>
      <c r="E480" s="7">
        <v>0.12740000000000001</v>
      </c>
      <c r="F480" s="7">
        <v>0.1399</v>
      </c>
      <c r="G480" s="7">
        <v>5.9900000000000002E-2</v>
      </c>
      <c r="H480" s="7">
        <v>6.8500000000000005E-2</v>
      </c>
      <c r="I480" s="4">
        <v>-0.4803</v>
      </c>
      <c r="J480" s="2">
        <v>9.8900000000000002E-2</v>
      </c>
      <c r="K480" s="1" t="s">
        <v>620</v>
      </c>
      <c r="L480" s="4">
        <v>0.897867564534231</v>
      </c>
      <c r="M480"/>
      <c r="N480"/>
      <c r="O480"/>
      <c r="P480"/>
      <c r="Q480"/>
    </row>
    <row r="481" spans="1:17" x14ac:dyDescent="0.3">
      <c r="A481" s="1" t="s">
        <v>396</v>
      </c>
      <c r="B481" s="1" t="s">
        <v>79</v>
      </c>
      <c r="C481">
        <v>1983</v>
      </c>
      <c r="D481" s="7">
        <v>9.1200000000000003E-2</v>
      </c>
      <c r="E481" s="7">
        <v>6.7000000000000004E-2</v>
      </c>
      <c r="F481" s="7">
        <v>0.1336</v>
      </c>
      <c r="G481" s="7">
        <v>6.0999999999999999E-2</v>
      </c>
      <c r="H481" s="7">
        <v>8.1799999999999998E-2</v>
      </c>
      <c r="I481" s="4">
        <v>0.19420000000000001</v>
      </c>
      <c r="J481" s="2">
        <v>8.5800000000000001E-2</v>
      </c>
      <c r="K481" s="1" t="s">
        <v>619</v>
      </c>
      <c r="L481" s="4">
        <v>0.79605263157894701</v>
      </c>
      <c r="M481"/>
      <c r="N481"/>
      <c r="O481"/>
      <c r="P481"/>
      <c r="Q481"/>
    </row>
    <row r="482" spans="1:17" x14ac:dyDescent="0.3">
      <c r="A482" s="1" t="s">
        <v>395</v>
      </c>
      <c r="B482" s="1" t="s">
        <v>79</v>
      </c>
      <c r="C482">
        <v>1984</v>
      </c>
      <c r="D482" s="7">
        <v>5.74E-2</v>
      </c>
      <c r="E482" s="7">
        <v>7.8700000000000006E-2</v>
      </c>
      <c r="F482" s="7">
        <v>8.1500000000000003E-2</v>
      </c>
      <c r="G482" s="7">
        <v>3.7999999999999999E-2</v>
      </c>
      <c r="H482" s="7">
        <v>4.1599999999999998E-2</v>
      </c>
      <c r="I482" s="4">
        <v>-0.4914</v>
      </c>
      <c r="J482" s="2">
        <v>0.06</v>
      </c>
      <c r="K482" s="1" t="s">
        <v>620</v>
      </c>
      <c r="L482" s="4">
        <v>0.75783972125435595</v>
      </c>
      <c r="M482"/>
      <c r="N482"/>
      <c r="O482"/>
      <c r="P482"/>
      <c r="Q482"/>
    </row>
    <row r="483" spans="1:17" x14ac:dyDescent="0.3">
      <c r="A483" s="1" t="s">
        <v>394</v>
      </c>
      <c r="B483" s="1" t="s">
        <v>79</v>
      </c>
      <c r="C483">
        <v>1985</v>
      </c>
      <c r="D483" s="7">
        <v>4.3999999999999997E-2</v>
      </c>
      <c r="E483" s="7">
        <v>4.1599999999999998E-2</v>
      </c>
      <c r="F483" s="7">
        <v>6.5100000000000005E-2</v>
      </c>
      <c r="G483" s="7">
        <v>2.7E-2</v>
      </c>
      <c r="H483" s="7">
        <v>5.62E-2</v>
      </c>
      <c r="I483" s="4">
        <v>0.35099999999999998</v>
      </c>
      <c r="J483" s="2">
        <v>4.7500000000000001E-2</v>
      </c>
      <c r="K483" s="1" t="s">
        <v>619</v>
      </c>
      <c r="L483" s="4">
        <v>0.86590909090909096</v>
      </c>
      <c r="M483"/>
      <c r="N483"/>
      <c r="O483"/>
      <c r="P483"/>
      <c r="Q483"/>
    </row>
    <row r="484" spans="1:17" x14ac:dyDescent="0.3">
      <c r="A484" s="1" t="s">
        <v>393</v>
      </c>
      <c r="B484" s="1" t="s">
        <v>79</v>
      </c>
      <c r="C484">
        <v>1986</v>
      </c>
      <c r="D484" s="7">
        <v>6.6100000000000006E-2</v>
      </c>
      <c r="E484" s="7">
        <v>5.5500000000000001E-2</v>
      </c>
      <c r="F484" s="7">
        <v>9.3899999999999997E-2</v>
      </c>
      <c r="G484" s="7">
        <v>4.7800000000000002E-2</v>
      </c>
      <c r="H484" s="7">
        <v>6.1600000000000002E-2</v>
      </c>
      <c r="I484" s="4">
        <v>9.6100000000000005E-2</v>
      </c>
      <c r="J484" s="2">
        <v>6.4699999999999994E-2</v>
      </c>
      <c r="K484" s="1" t="s">
        <v>619</v>
      </c>
      <c r="L484" s="4">
        <v>0.69742813918305602</v>
      </c>
      <c r="M484"/>
      <c r="N484"/>
      <c r="O484"/>
      <c r="P484"/>
      <c r="Q484"/>
    </row>
    <row r="485" spans="1:17" x14ac:dyDescent="0.3">
      <c r="A485" s="1" t="s">
        <v>392</v>
      </c>
      <c r="B485" s="1" t="s">
        <v>79</v>
      </c>
      <c r="C485">
        <v>1987</v>
      </c>
      <c r="D485" s="7">
        <v>7.0900000000000005E-2</v>
      </c>
      <c r="E485" s="7">
        <v>6.0999999999999999E-2</v>
      </c>
      <c r="F485" s="7">
        <v>9.4899999999999998E-2</v>
      </c>
      <c r="G485" s="7">
        <v>5.6000000000000001E-2</v>
      </c>
      <c r="H485" s="7">
        <v>9.4899999999999998E-2</v>
      </c>
      <c r="I485" s="4">
        <v>0.54059999999999997</v>
      </c>
      <c r="J485" s="2">
        <v>7.6700000000000004E-2</v>
      </c>
      <c r="K485" s="1" t="s">
        <v>619</v>
      </c>
      <c r="L485" s="4">
        <v>0.54866008462623395</v>
      </c>
      <c r="M485"/>
      <c r="N485"/>
      <c r="O485"/>
      <c r="P485"/>
      <c r="Q485"/>
    </row>
    <row r="486" spans="1:17" x14ac:dyDescent="0.3">
      <c r="A486" s="1" t="s">
        <v>391</v>
      </c>
      <c r="B486" s="1" t="s">
        <v>79</v>
      </c>
      <c r="C486">
        <v>1988</v>
      </c>
      <c r="D486" s="7">
        <v>0.1009</v>
      </c>
      <c r="E486" s="7">
        <v>9.7500000000000003E-2</v>
      </c>
      <c r="F486" s="7">
        <v>0.153</v>
      </c>
      <c r="G486" s="7">
        <v>7.6999999999999999E-2</v>
      </c>
      <c r="H486" s="7">
        <v>0.1115</v>
      </c>
      <c r="I486" s="4">
        <v>0.1749</v>
      </c>
      <c r="J486" s="2">
        <v>0.10979999999999999</v>
      </c>
      <c r="K486" s="1" t="s">
        <v>619</v>
      </c>
      <c r="L486" s="4">
        <v>0.75322101090188298</v>
      </c>
      <c r="M486"/>
      <c r="N486"/>
      <c r="O486"/>
      <c r="P486"/>
      <c r="Q486"/>
    </row>
    <row r="487" spans="1:17" x14ac:dyDescent="0.3">
      <c r="A487" s="1" t="s">
        <v>390</v>
      </c>
      <c r="B487" s="1" t="s">
        <v>79</v>
      </c>
      <c r="C487">
        <v>1989</v>
      </c>
      <c r="D487" s="7">
        <v>0.1278</v>
      </c>
      <c r="E487" s="7">
        <v>0.1037</v>
      </c>
      <c r="F487" s="7">
        <v>0.15359999999999999</v>
      </c>
      <c r="G487" s="7">
        <v>9.4E-2</v>
      </c>
      <c r="H487" s="7">
        <v>0.13159999999999999</v>
      </c>
      <c r="I487" s="4">
        <v>0.18029999999999999</v>
      </c>
      <c r="J487" s="2">
        <v>0.1207</v>
      </c>
      <c r="K487" s="1" t="s">
        <v>619</v>
      </c>
      <c r="L487" s="4">
        <v>0.46635367762128299</v>
      </c>
      <c r="M487"/>
      <c r="N487"/>
      <c r="O487"/>
      <c r="P487"/>
      <c r="Q487"/>
    </row>
    <row r="488" spans="1:17" x14ac:dyDescent="0.3">
      <c r="A488" s="1" t="s">
        <v>389</v>
      </c>
      <c r="B488" s="1" t="s">
        <v>79</v>
      </c>
      <c r="C488">
        <v>1990</v>
      </c>
      <c r="D488" s="7">
        <v>0.12559999999999999</v>
      </c>
      <c r="E488" s="7">
        <v>0.13020000000000001</v>
      </c>
      <c r="F488" s="7">
        <v>0.1613</v>
      </c>
      <c r="G488" s="7">
        <v>9.1300000000000006E-2</v>
      </c>
      <c r="H488" s="7">
        <v>9.3700000000000006E-2</v>
      </c>
      <c r="I488" s="4">
        <v>-0.28799999999999998</v>
      </c>
      <c r="J488" s="2">
        <v>0.1191</v>
      </c>
      <c r="K488" s="1" t="s">
        <v>620</v>
      </c>
      <c r="L488" s="4">
        <v>0.55732484076433098</v>
      </c>
      <c r="M488"/>
      <c r="N488"/>
      <c r="O488"/>
      <c r="P488"/>
      <c r="Q488"/>
    </row>
    <row r="489" spans="1:17" x14ac:dyDescent="0.3">
      <c r="A489" s="1" t="s">
        <v>388</v>
      </c>
      <c r="B489" s="1" t="s">
        <v>79</v>
      </c>
      <c r="C489">
        <v>1991</v>
      </c>
      <c r="D489" s="7">
        <v>8.7999999999999995E-2</v>
      </c>
      <c r="E489" s="7">
        <v>9.1200000000000003E-2</v>
      </c>
      <c r="F489" s="7">
        <v>9.9699999999999997E-2</v>
      </c>
      <c r="G489" s="7">
        <v>7.6300000000000007E-2</v>
      </c>
      <c r="H489" s="7">
        <v>0.09</v>
      </c>
      <c r="I489" s="4">
        <v>-3.95E-2</v>
      </c>
      <c r="J489" s="2">
        <v>8.9300000000000004E-2</v>
      </c>
      <c r="K489" s="1" t="s">
        <v>620</v>
      </c>
      <c r="L489" s="4">
        <v>0.26590909090909098</v>
      </c>
      <c r="M489"/>
      <c r="N489"/>
      <c r="O489"/>
      <c r="P489"/>
      <c r="Q489"/>
    </row>
    <row r="490" spans="1:17" x14ac:dyDescent="0.3">
      <c r="A490" s="1" t="s">
        <v>387</v>
      </c>
      <c r="B490" s="1" t="s">
        <v>79</v>
      </c>
      <c r="C490">
        <v>1992</v>
      </c>
      <c r="D490" s="7">
        <v>9.0300000000000005E-2</v>
      </c>
      <c r="E490" s="7">
        <v>8.5900000000000004E-2</v>
      </c>
      <c r="F490" s="7">
        <v>0.1105</v>
      </c>
      <c r="G490" s="7">
        <v>7.8799999999999995E-2</v>
      </c>
      <c r="H490" s="7">
        <v>8.4099999999999994E-2</v>
      </c>
      <c r="I490" s="4">
        <v>-6.5600000000000006E-2</v>
      </c>
      <c r="J490" s="2">
        <v>8.9800000000000005E-2</v>
      </c>
      <c r="K490" s="1" t="s">
        <v>620</v>
      </c>
      <c r="L490" s="4">
        <v>0.351052048726467</v>
      </c>
      <c r="M490"/>
      <c r="N490"/>
      <c r="O490"/>
      <c r="P490"/>
      <c r="Q490"/>
    </row>
    <row r="491" spans="1:17" x14ac:dyDescent="0.3">
      <c r="A491" s="1" t="s">
        <v>386</v>
      </c>
      <c r="B491" s="1" t="s">
        <v>79</v>
      </c>
      <c r="C491">
        <v>1993</v>
      </c>
      <c r="D491" s="7">
        <v>0.10249999999999999</v>
      </c>
      <c r="E491" s="7">
        <v>8.2900000000000001E-2</v>
      </c>
      <c r="F491" s="7">
        <v>0.13189999999999999</v>
      </c>
      <c r="G491" s="7">
        <v>8.0399999999999999E-2</v>
      </c>
      <c r="H491" s="7">
        <v>0.1077</v>
      </c>
      <c r="I491" s="4">
        <v>0.28060000000000002</v>
      </c>
      <c r="J491" s="2">
        <v>0.1007</v>
      </c>
      <c r="K491" s="1" t="s">
        <v>619</v>
      </c>
      <c r="L491" s="4">
        <v>0.50243902439024402</v>
      </c>
      <c r="M491"/>
      <c r="N491"/>
      <c r="O491"/>
      <c r="P491"/>
      <c r="Q491"/>
    </row>
    <row r="492" spans="1:17" x14ac:dyDescent="0.3">
      <c r="A492" s="1" t="s">
        <v>385</v>
      </c>
      <c r="B492" s="1" t="s">
        <v>79</v>
      </c>
      <c r="C492">
        <v>1994</v>
      </c>
      <c r="D492" s="7">
        <v>0.12180000000000001</v>
      </c>
      <c r="E492" s="7">
        <v>0.1082</v>
      </c>
      <c r="F492" s="7">
        <v>0.1517</v>
      </c>
      <c r="G492" s="7">
        <v>0.1028</v>
      </c>
      <c r="H492" s="7">
        <v>0.1517</v>
      </c>
      <c r="I492" s="4">
        <v>0.40849999999999997</v>
      </c>
      <c r="J492" s="2">
        <v>0.12859999999999999</v>
      </c>
      <c r="K492" s="1" t="s">
        <v>619</v>
      </c>
      <c r="L492" s="4">
        <v>0.401477832512315</v>
      </c>
      <c r="M492"/>
      <c r="N492"/>
      <c r="O492"/>
      <c r="P492"/>
      <c r="Q492"/>
    </row>
    <row r="493" spans="1:17" x14ac:dyDescent="0.3">
      <c r="A493" s="1" t="s">
        <v>384</v>
      </c>
      <c r="B493" s="1" t="s">
        <v>79</v>
      </c>
      <c r="C493">
        <v>1995</v>
      </c>
      <c r="D493" s="7">
        <v>0.121</v>
      </c>
      <c r="E493" s="7">
        <v>0.15390000000000001</v>
      </c>
      <c r="F493" s="7">
        <v>0.15740000000000001</v>
      </c>
      <c r="G493" s="7">
        <v>9.69E-2</v>
      </c>
      <c r="H493" s="7">
        <v>0.11600000000000001</v>
      </c>
      <c r="I493" s="4">
        <v>-0.23530000000000001</v>
      </c>
      <c r="J493" s="2">
        <v>0.13100000000000001</v>
      </c>
      <c r="K493" s="1" t="s">
        <v>620</v>
      </c>
      <c r="L493" s="4">
        <v>0.5</v>
      </c>
      <c r="M493"/>
      <c r="N493"/>
      <c r="O493"/>
      <c r="P493"/>
      <c r="Q493"/>
    </row>
    <row r="494" spans="1:17" x14ac:dyDescent="0.3">
      <c r="A494" s="1" t="s">
        <v>383</v>
      </c>
      <c r="B494" s="1" t="s">
        <v>79</v>
      </c>
      <c r="C494">
        <v>1996</v>
      </c>
      <c r="D494" s="7">
        <v>0.1139</v>
      </c>
      <c r="E494" s="7">
        <v>0.1183</v>
      </c>
      <c r="F494" s="7">
        <v>0.12659999999999999</v>
      </c>
      <c r="G494" s="7">
        <v>0.1027</v>
      </c>
      <c r="H494" s="7">
        <v>0.11</v>
      </c>
      <c r="I494" s="4">
        <v>-5.1700000000000003E-2</v>
      </c>
      <c r="J494" s="2">
        <v>0.1144</v>
      </c>
      <c r="K494" s="1" t="s">
        <v>620</v>
      </c>
      <c r="L494" s="4">
        <v>0.209833187006146</v>
      </c>
      <c r="M494"/>
      <c r="N494"/>
      <c r="O494"/>
      <c r="P494"/>
      <c r="Q494"/>
    </row>
    <row r="495" spans="1:17" x14ac:dyDescent="0.3">
      <c r="A495" s="1" t="s">
        <v>382</v>
      </c>
      <c r="B495" s="1" t="s">
        <v>79</v>
      </c>
      <c r="C495">
        <v>1997</v>
      </c>
      <c r="D495" s="7">
        <v>0.11360000000000001</v>
      </c>
      <c r="E495" s="7">
        <v>0.1094</v>
      </c>
      <c r="F495" s="7">
        <v>0.1249</v>
      </c>
      <c r="G495" s="7">
        <v>0.10150000000000001</v>
      </c>
      <c r="H495" s="7">
        <v>0.1222</v>
      </c>
      <c r="I495" s="4">
        <v>0.1109</v>
      </c>
      <c r="J495" s="2">
        <v>0.1145</v>
      </c>
      <c r="K495" s="1" t="s">
        <v>619</v>
      </c>
      <c r="L495" s="4">
        <v>0.205985915492958</v>
      </c>
      <c r="M495"/>
      <c r="N495"/>
      <c r="O495"/>
      <c r="P495"/>
      <c r="Q495"/>
    </row>
    <row r="496" spans="1:17" x14ac:dyDescent="0.3">
      <c r="A496" s="1" t="s">
        <v>381</v>
      </c>
      <c r="B496" s="1" t="s">
        <v>79</v>
      </c>
      <c r="C496">
        <v>1998</v>
      </c>
      <c r="D496" s="7">
        <v>8.7800000000000003E-2</v>
      </c>
      <c r="E496" s="7">
        <v>0.1202</v>
      </c>
      <c r="F496" s="7">
        <v>0.1202</v>
      </c>
      <c r="G496" s="7">
        <v>6.6699999999999995E-2</v>
      </c>
      <c r="H496" s="7">
        <v>7.8600000000000003E-2</v>
      </c>
      <c r="I496" s="4">
        <v>-0.35680000000000001</v>
      </c>
      <c r="J496" s="2">
        <v>9.64E-2</v>
      </c>
      <c r="K496" s="1" t="s">
        <v>620</v>
      </c>
      <c r="L496" s="4">
        <v>0.60933940774487505</v>
      </c>
      <c r="M496"/>
      <c r="N496"/>
      <c r="O496"/>
      <c r="P496"/>
      <c r="Q496"/>
    </row>
    <row r="497" spans="1:17" x14ac:dyDescent="0.3">
      <c r="A497" s="1" t="s">
        <v>380</v>
      </c>
      <c r="B497" s="1" t="s">
        <v>79</v>
      </c>
      <c r="C497">
        <v>1999</v>
      </c>
      <c r="D497" s="7">
        <v>6.1400000000000003E-2</v>
      </c>
      <c r="E497" s="7">
        <v>8.1799999999999998E-2</v>
      </c>
      <c r="F497" s="7">
        <v>8.7999999999999995E-2</v>
      </c>
      <c r="G497" s="7">
        <v>4.3799999999999999E-2</v>
      </c>
      <c r="H497" s="7">
        <v>6.1199999999999997E-2</v>
      </c>
      <c r="I497" s="4">
        <v>-0.22140000000000001</v>
      </c>
      <c r="J497" s="2">
        <v>6.8699999999999997E-2</v>
      </c>
      <c r="K497" s="1" t="s">
        <v>620</v>
      </c>
      <c r="L497" s="4">
        <v>0.71986970684039098</v>
      </c>
      <c r="M497"/>
      <c r="N497"/>
      <c r="O497"/>
      <c r="P497"/>
      <c r="Q497"/>
    </row>
    <row r="498" spans="1:17" x14ac:dyDescent="0.3">
      <c r="A498" s="1" t="s">
        <v>379</v>
      </c>
      <c r="B498" s="1" t="s">
        <v>79</v>
      </c>
      <c r="C498">
        <v>2000</v>
      </c>
      <c r="D498" s="7">
        <v>8.1600000000000006E-2</v>
      </c>
      <c r="E498" s="7">
        <v>6.0999999999999999E-2</v>
      </c>
      <c r="F498" s="7">
        <v>0.1139</v>
      </c>
      <c r="G498" s="7">
        <v>4.8099999999999997E-2</v>
      </c>
      <c r="H498" s="7">
        <v>0.10199999999999999</v>
      </c>
      <c r="I498" s="4">
        <v>0.66669999999999996</v>
      </c>
      <c r="J498" s="2">
        <v>8.1199999999999994E-2</v>
      </c>
      <c r="K498" s="1" t="s">
        <v>619</v>
      </c>
      <c r="L498" s="4">
        <v>0.80637254901960798</v>
      </c>
      <c r="M498"/>
      <c r="N498"/>
      <c r="O498"/>
      <c r="P498"/>
      <c r="Q498"/>
    </row>
    <row r="499" spans="1:17" x14ac:dyDescent="0.3">
      <c r="A499" s="1" t="s">
        <v>378</v>
      </c>
      <c r="B499" s="1" t="s">
        <v>79</v>
      </c>
      <c r="C499">
        <v>2001</v>
      </c>
      <c r="D499" s="7">
        <v>8.3500000000000005E-2</v>
      </c>
      <c r="E499" s="7">
        <v>0.1017</v>
      </c>
      <c r="F499" s="7">
        <v>0.1047</v>
      </c>
      <c r="G499" s="7">
        <v>6.1499999999999999E-2</v>
      </c>
      <c r="H499" s="7">
        <v>7.3899999999999993E-2</v>
      </c>
      <c r="I499" s="4">
        <v>-0.27550000000000002</v>
      </c>
      <c r="J499" s="2">
        <v>8.5400000000000004E-2</v>
      </c>
      <c r="K499" s="1" t="s">
        <v>620</v>
      </c>
      <c r="L499" s="4">
        <v>0.51736526946107797</v>
      </c>
      <c r="M499"/>
      <c r="N499"/>
      <c r="O499"/>
      <c r="P499"/>
      <c r="Q499"/>
    </row>
    <row r="500" spans="1:17" x14ac:dyDescent="0.3">
      <c r="A500" s="1" t="s">
        <v>377</v>
      </c>
      <c r="B500" s="1" t="s">
        <v>79</v>
      </c>
      <c r="C500">
        <v>2002</v>
      </c>
      <c r="D500" s="7">
        <v>6.3700000000000007E-2</v>
      </c>
      <c r="E500" s="7">
        <v>7.7100000000000002E-2</v>
      </c>
      <c r="F500" s="7">
        <v>8.0299999999999996E-2</v>
      </c>
      <c r="G500" s="7">
        <v>4.99E-2</v>
      </c>
      <c r="H500" s="7">
        <v>7.6100000000000001E-2</v>
      </c>
      <c r="I500" s="4">
        <v>2.98E-2</v>
      </c>
      <c r="J500" s="2">
        <v>7.0800000000000002E-2</v>
      </c>
      <c r="K500" s="1" t="s">
        <v>619</v>
      </c>
      <c r="L500" s="4">
        <v>0.47723704866562</v>
      </c>
      <c r="M500"/>
      <c r="N500"/>
      <c r="O500"/>
      <c r="P500"/>
      <c r="Q500"/>
    </row>
    <row r="501" spans="1:17" x14ac:dyDescent="0.3">
      <c r="A501" s="1" t="s">
        <v>376</v>
      </c>
      <c r="B501" s="1" t="s">
        <v>79</v>
      </c>
      <c r="C501">
        <v>2003</v>
      </c>
      <c r="D501" s="7">
        <v>6.9500000000000006E-2</v>
      </c>
      <c r="E501" s="7">
        <v>7.6899999999999996E-2</v>
      </c>
      <c r="F501" s="7">
        <v>9.0700000000000003E-2</v>
      </c>
      <c r="G501" s="7">
        <v>5.67E-2</v>
      </c>
      <c r="H501" s="7">
        <v>5.67E-2</v>
      </c>
      <c r="I501" s="4">
        <v>-0.25490000000000002</v>
      </c>
      <c r="J501" s="2">
        <v>7.0199999999999999E-2</v>
      </c>
      <c r="K501" s="1" t="s">
        <v>620</v>
      </c>
      <c r="L501" s="4">
        <v>0.48920863309352502</v>
      </c>
      <c r="M501"/>
      <c r="N501"/>
      <c r="O501"/>
      <c r="P501"/>
      <c r="Q501"/>
    </row>
    <row r="502" spans="1:17" x14ac:dyDescent="0.3">
      <c r="A502" s="1" t="s">
        <v>375</v>
      </c>
      <c r="B502" s="1" t="s">
        <v>79</v>
      </c>
      <c r="C502">
        <v>2004</v>
      </c>
      <c r="D502" s="7">
        <v>7.4099999999999999E-2</v>
      </c>
      <c r="E502" s="7">
        <v>5.7000000000000002E-2</v>
      </c>
      <c r="F502" s="7">
        <v>9.3200000000000005E-2</v>
      </c>
      <c r="G502" s="7">
        <v>5.3600000000000002E-2</v>
      </c>
      <c r="H502" s="7">
        <v>9.0399999999999994E-2</v>
      </c>
      <c r="I502" s="4">
        <v>0.59440000000000004</v>
      </c>
      <c r="J502" s="2">
        <v>7.3599999999999999E-2</v>
      </c>
      <c r="K502" s="1" t="s">
        <v>619</v>
      </c>
      <c r="L502" s="4">
        <v>0.53441295546558698</v>
      </c>
      <c r="M502"/>
      <c r="N502"/>
      <c r="O502"/>
      <c r="P502"/>
      <c r="Q502"/>
    </row>
    <row r="503" spans="1:17" x14ac:dyDescent="0.3">
      <c r="A503" s="1" t="s">
        <v>374</v>
      </c>
      <c r="B503" s="1" t="s">
        <v>79</v>
      </c>
      <c r="C503">
        <v>2005</v>
      </c>
      <c r="D503" s="7">
        <v>9.9900000000000003E-2</v>
      </c>
      <c r="E503" s="7">
        <v>9.1700000000000004E-2</v>
      </c>
      <c r="F503" s="7">
        <v>0.1479</v>
      </c>
      <c r="G503" s="7">
        <v>8.0799999999999997E-2</v>
      </c>
      <c r="H503" s="7">
        <v>0.14680000000000001</v>
      </c>
      <c r="I503" s="4">
        <v>0.62390000000000001</v>
      </c>
      <c r="J503" s="2">
        <v>0.1168</v>
      </c>
      <c r="K503" s="1" t="s">
        <v>619</v>
      </c>
      <c r="L503" s="4">
        <v>0.67167167167167197</v>
      </c>
      <c r="M503"/>
      <c r="N503"/>
      <c r="O503"/>
      <c r="P503"/>
      <c r="Q503"/>
    </row>
    <row r="504" spans="1:17" x14ac:dyDescent="0.3">
      <c r="A504" s="1" t="s">
        <v>373</v>
      </c>
      <c r="B504" s="1" t="s">
        <v>79</v>
      </c>
      <c r="C504">
        <v>2006</v>
      </c>
      <c r="D504" s="7">
        <v>0.14649999999999999</v>
      </c>
      <c r="E504" s="7">
        <v>0.14180000000000001</v>
      </c>
      <c r="F504" s="7">
        <v>0.193</v>
      </c>
      <c r="G504" s="7">
        <v>9.7500000000000003E-2</v>
      </c>
      <c r="H504" s="7">
        <v>0.11749999999999999</v>
      </c>
      <c r="I504" s="4">
        <v>-0.1996</v>
      </c>
      <c r="J504" s="2">
        <v>0.13739999999999999</v>
      </c>
      <c r="K504" s="1" t="s">
        <v>620</v>
      </c>
      <c r="L504" s="4">
        <v>0.65187713310580198</v>
      </c>
      <c r="M504"/>
      <c r="N504"/>
      <c r="O504"/>
      <c r="P504"/>
      <c r="Q504"/>
    </row>
    <row r="505" spans="1:17" x14ac:dyDescent="0.3">
      <c r="A505" s="1" t="s">
        <v>372</v>
      </c>
      <c r="B505" s="1" t="s">
        <v>79</v>
      </c>
      <c r="C505">
        <v>2007</v>
      </c>
      <c r="D505" s="7">
        <v>9.9000000000000005E-2</v>
      </c>
      <c r="E505" s="7">
        <v>0.11509999999999999</v>
      </c>
      <c r="F505" s="7">
        <v>0.11509999999999999</v>
      </c>
      <c r="G505" s="7">
        <v>8.4500000000000006E-2</v>
      </c>
      <c r="H505" s="7">
        <v>0.1082</v>
      </c>
      <c r="I505" s="4">
        <v>-7.9100000000000004E-2</v>
      </c>
      <c r="J505" s="2">
        <v>0.1057</v>
      </c>
      <c r="K505" s="1" t="s">
        <v>620</v>
      </c>
      <c r="L505" s="4">
        <v>0.30909090909090903</v>
      </c>
      <c r="M505"/>
      <c r="N505"/>
      <c r="O505"/>
      <c r="P505"/>
      <c r="Q505"/>
    </row>
    <row r="506" spans="1:17" x14ac:dyDescent="0.3">
      <c r="A506" s="1" t="s">
        <v>371</v>
      </c>
      <c r="B506" s="1" t="s">
        <v>79</v>
      </c>
      <c r="C506">
        <v>2008</v>
      </c>
      <c r="D506" s="7">
        <v>0.12130000000000001</v>
      </c>
      <c r="E506" s="7">
        <v>0.10730000000000001</v>
      </c>
      <c r="F506" s="7">
        <v>0.15049999999999999</v>
      </c>
      <c r="G506" s="7">
        <v>9.5200000000000007E-2</v>
      </c>
      <c r="H506" s="7">
        <v>0.1181</v>
      </c>
      <c r="I506" s="4">
        <v>9.1499999999999998E-2</v>
      </c>
      <c r="J506" s="2">
        <v>0.1178</v>
      </c>
      <c r="K506" s="1" t="s">
        <v>619</v>
      </c>
      <c r="L506" s="4">
        <v>0.45589447650453402</v>
      </c>
      <c r="M506"/>
      <c r="N506"/>
      <c r="O506"/>
      <c r="P506"/>
      <c r="Q506"/>
    </row>
    <row r="507" spans="1:17" x14ac:dyDescent="0.3">
      <c r="A507" s="1" t="s">
        <v>370</v>
      </c>
      <c r="B507" s="1" t="s">
        <v>79</v>
      </c>
      <c r="C507">
        <v>2009</v>
      </c>
      <c r="D507" s="7">
        <v>0.18</v>
      </c>
      <c r="E507" s="7">
        <v>0.11849999999999999</v>
      </c>
      <c r="F507" s="7">
        <v>0.27260000000000001</v>
      </c>
      <c r="G507" s="7">
        <v>0.1143</v>
      </c>
      <c r="H507" s="7">
        <v>0.26950000000000002</v>
      </c>
      <c r="I507" s="4">
        <v>1.282</v>
      </c>
      <c r="J507" s="2">
        <v>0.19370000000000001</v>
      </c>
      <c r="K507" s="1" t="s">
        <v>619</v>
      </c>
      <c r="L507" s="4">
        <v>0.87944444444444403</v>
      </c>
      <c r="M507"/>
      <c r="N507"/>
      <c r="O507"/>
      <c r="P507"/>
      <c r="Q507"/>
    </row>
    <row r="508" spans="1:17" x14ac:dyDescent="0.3">
      <c r="A508" s="1" t="s">
        <v>369</v>
      </c>
      <c r="B508" s="1" t="s">
        <v>79</v>
      </c>
      <c r="C508">
        <v>2010</v>
      </c>
      <c r="D508" s="7">
        <v>0.22239999999999999</v>
      </c>
      <c r="E508" s="7">
        <v>0.2762</v>
      </c>
      <c r="F508" s="7">
        <v>0.34389999999999998</v>
      </c>
      <c r="G508" s="7">
        <v>0.13669999999999999</v>
      </c>
      <c r="H508" s="7">
        <v>0.32119999999999999</v>
      </c>
      <c r="I508" s="4">
        <v>0.1918</v>
      </c>
      <c r="J508" s="2">
        <v>0.26950000000000002</v>
      </c>
      <c r="K508" s="1" t="s">
        <v>619</v>
      </c>
      <c r="L508" s="4">
        <v>0.93165467625899301</v>
      </c>
      <c r="M508"/>
      <c r="N508"/>
      <c r="O508"/>
      <c r="P508"/>
      <c r="Q508"/>
    </row>
    <row r="509" spans="1:17" x14ac:dyDescent="0.3">
      <c r="A509" s="1" t="s">
        <v>368</v>
      </c>
      <c r="B509" s="1" t="s">
        <v>79</v>
      </c>
      <c r="C509">
        <v>2011</v>
      </c>
      <c r="D509" s="7">
        <v>0.2702</v>
      </c>
      <c r="E509" s="7">
        <v>0.31</v>
      </c>
      <c r="F509" s="7">
        <v>0.35310000000000002</v>
      </c>
      <c r="G509" s="7">
        <v>0.20469999999999999</v>
      </c>
      <c r="H509" s="7">
        <v>0.23300000000000001</v>
      </c>
      <c r="I509" s="4">
        <v>-0.27460000000000001</v>
      </c>
      <c r="J509" s="2">
        <v>0.2752</v>
      </c>
      <c r="K509" s="1" t="s">
        <v>620</v>
      </c>
      <c r="L509" s="4">
        <v>0.54922279792746098</v>
      </c>
      <c r="M509"/>
      <c r="N509"/>
      <c r="O509"/>
      <c r="P509"/>
      <c r="Q509"/>
    </row>
    <row r="510" spans="1:17" x14ac:dyDescent="0.3">
      <c r="A510" s="1" t="s">
        <v>367</v>
      </c>
      <c r="B510" s="1" t="s">
        <v>79</v>
      </c>
      <c r="C510">
        <v>2012</v>
      </c>
      <c r="D510" s="7">
        <v>0.21560000000000001</v>
      </c>
      <c r="E510" s="7">
        <v>0.24510000000000001</v>
      </c>
      <c r="F510" s="7">
        <v>0.26119999999999999</v>
      </c>
      <c r="G510" s="7">
        <v>0.18540000000000001</v>
      </c>
      <c r="H510" s="7">
        <v>0.1951</v>
      </c>
      <c r="I510" s="4">
        <v>-0.16270000000000001</v>
      </c>
      <c r="J510" s="2">
        <v>0.22170000000000001</v>
      </c>
      <c r="K510" s="1" t="s">
        <v>620</v>
      </c>
      <c r="L510" s="4">
        <v>0.35157699443413698</v>
      </c>
      <c r="M510"/>
      <c r="N510"/>
      <c r="O510"/>
      <c r="P510"/>
      <c r="Q510"/>
    </row>
    <row r="511" spans="1:17" x14ac:dyDescent="0.3">
      <c r="A511" s="1" t="s">
        <v>366</v>
      </c>
      <c r="B511" s="1" t="s">
        <v>79</v>
      </c>
      <c r="C511">
        <v>2013</v>
      </c>
      <c r="D511" s="7">
        <v>0.17480000000000001</v>
      </c>
      <c r="E511" s="7">
        <v>0.19689999999999999</v>
      </c>
      <c r="F511" s="7">
        <v>0.19689999999999999</v>
      </c>
      <c r="G511" s="7">
        <v>0.15890000000000001</v>
      </c>
      <c r="H511" s="7">
        <v>0.1641</v>
      </c>
      <c r="I511" s="4">
        <v>-0.15890000000000001</v>
      </c>
      <c r="J511" s="2">
        <v>0.1792</v>
      </c>
      <c r="K511" s="1" t="s">
        <v>620</v>
      </c>
      <c r="L511" s="4">
        <v>0.217391304347826</v>
      </c>
      <c r="M511"/>
      <c r="N511"/>
      <c r="O511"/>
      <c r="P511"/>
      <c r="Q511"/>
    </row>
    <row r="512" spans="1:17" x14ac:dyDescent="0.3">
      <c r="A512" s="1" t="s">
        <v>365</v>
      </c>
      <c r="B512" s="1" t="s">
        <v>79</v>
      </c>
      <c r="C512">
        <v>2014</v>
      </c>
      <c r="D512" s="7">
        <v>0.16370000000000001</v>
      </c>
      <c r="E512" s="7">
        <v>0.16289999999999999</v>
      </c>
      <c r="F512" s="7">
        <v>0.1832</v>
      </c>
      <c r="G512" s="7">
        <v>0.13500000000000001</v>
      </c>
      <c r="H512" s="7">
        <v>0.1452</v>
      </c>
      <c r="I512" s="4">
        <v>-0.1152</v>
      </c>
      <c r="J512" s="2">
        <v>0.15659999999999999</v>
      </c>
      <c r="K512" s="1" t="s">
        <v>620</v>
      </c>
      <c r="L512" s="4">
        <v>0.29444105070250498</v>
      </c>
      <c r="M512"/>
      <c r="N512"/>
      <c r="O512"/>
      <c r="P512"/>
      <c r="Q512"/>
    </row>
    <row r="513" spans="1:17" x14ac:dyDescent="0.3">
      <c r="A513" s="1" t="s">
        <v>364</v>
      </c>
      <c r="B513" s="1" t="s">
        <v>79</v>
      </c>
      <c r="C513">
        <v>2015</v>
      </c>
      <c r="D513" s="7">
        <v>0.13120000000000001</v>
      </c>
      <c r="E513" s="7">
        <v>0.14169999999999999</v>
      </c>
      <c r="F513" s="7">
        <v>0.15920000000000001</v>
      </c>
      <c r="G513" s="7">
        <v>0.10390000000000001</v>
      </c>
      <c r="H513" s="7">
        <v>0.15240000000000001</v>
      </c>
      <c r="I513" s="4">
        <v>4.9599999999999998E-2</v>
      </c>
      <c r="J513" s="2">
        <v>0.13930000000000001</v>
      </c>
      <c r="K513" s="1" t="s">
        <v>619</v>
      </c>
      <c r="L513" s="4">
        <v>0.42149390243902402</v>
      </c>
      <c r="M513"/>
      <c r="N513"/>
      <c r="O513"/>
      <c r="P513"/>
      <c r="Q513"/>
    </row>
    <row r="514" spans="1:17" x14ac:dyDescent="0.3">
      <c r="A514" s="1" t="s">
        <v>363</v>
      </c>
      <c r="B514" s="1" t="s">
        <v>79</v>
      </c>
      <c r="C514">
        <v>2016</v>
      </c>
      <c r="D514" s="7">
        <v>0.182</v>
      </c>
      <c r="E514" s="7">
        <v>0.1497</v>
      </c>
      <c r="F514" s="7">
        <v>0.23810000000000001</v>
      </c>
      <c r="G514" s="7">
        <v>0.12520000000000001</v>
      </c>
      <c r="H514" s="7">
        <v>0.1951</v>
      </c>
      <c r="I514" s="4">
        <v>0.2802</v>
      </c>
      <c r="J514" s="2">
        <v>0.17699999999999999</v>
      </c>
      <c r="K514" s="1" t="s">
        <v>619</v>
      </c>
      <c r="L514" s="4">
        <v>0.62032967032967001</v>
      </c>
      <c r="M514"/>
      <c r="N514"/>
      <c r="O514"/>
      <c r="P514"/>
      <c r="Q514"/>
    </row>
    <row r="515" spans="1:17" x14ac:dyDescent="0.3">
      <c r="A515" s="1" t="s">
        <v>362</v>
      </c>
      <c r="B515" s="1" t="s">
        <v>79</v>
      </c>
      <c r="C515">
        <v>2017</v>
      </c>
      <c r="D515" s="7">
        <v>0.1578</v>
      </c>
      <c r="E515" s="7">
        <v>0.2051</v>
      </c>
      <c r="F515" s="7">
        <v>0.21179999999999999</v>
      </c>
      <c r="G515" s="7">
        <v>0.12609999999999999</v>
      </c>
      <c r="H515" s="7">
        <v>0.15160000000000001</v>
      </c>
      <c r="I515" s="4">
        <v>-0.223</v>
      </c>
      <c r="J515" s="2">
        <v>0.1736</v>
      </c>
      <c r="K515" s="1" t="s">
        <v>620</v>
      </c>
      <c r="L515" s="4">
        <v>0.54309252217997495</v>
      </c>
      <c r="M515"/>
      <c r="N515"/>
      <c r="O515"/>
      <c r="P515"/>
      <c r="Q515"/>
    </row>
    <row r="516" spans="1:17" x14ac:dyDescent="0.3">
      <c r="A516" s="1" t="s">
        <v>361</v>
      </c>
      <c r="B516" s="1" t="s">
        <v>79</v>
      </c>
      <c r="C516">
        <v>2018</v>
      </c>
      <c r="D516" s="7">
        <v>0.1225</v>
      </c>
      <c r="E516" s="7">
        <v>0.15329999999999999</v>
      </c>
      <c r="F516" s="7">
        <v>0.15329999999999999</v>
      </c>
      <c r="G516" s="7">
        <v>0.1009</v>
      </c>
      <c r="H516" s="7">
        <v>0.1203</v>
      </c>
      <c r="I516" s="4">
        <v>-0.20649999999999999</v>
      </c>
      <c r="J516" s="2">
        <v>0.13200000000000001</v>
      </c>
      <c r="K516" s="1" t="s">
        <v>620</v>
      </c>
      <c r="L516" s="4">
        <v>0.42775510204081602</v>
      </c>
      <c r="M516"/>
      <c r="N516"/>
      <c r="O516"/>
      <c r="P516"/>
      <c r="Q516"/>
    </row>
    <row r="517" spans="1:17" x14ac:dyDescent="0.3">
      <c r="A517" s="1" t="s">
        <v>360</v>
      </c>
      <c r="B517" s="1" t="s">
        <v>79</v>
      </c>
      <c r="C517">
        <v>2019</v>
      </c>
      <c r="D517" s="7">
        <v>0.1235</v>
      </c>
      <c r="E517" s="7">
        <v>0.1193</v>
      </c>
      <c r="F517" s="7">
        <v>0.13550000000000001</v>
      </c>
      <c r="G517" s="7">
        <v>0.1076</v>
      </c>
      <c r="H517" s="7">
        <v>0.13420000000000001</v>
      </c>
      <c r="I517" s="4">
        <v>0.11550000000000001</v>
      </c>
      <c r="J517" s="2">
        <v>0.1242</v>
      </c>
      <c r="K517" s="1" t="s">
        <v>619</v>
      </c>
      <c r="L517" s="4">
        <v>0.225910931174089</v>
      </c>
      <c r="M517"/>
      <c r="N517"/>
      <c r="O517"/>
      <c r="P517"/>
      <c r="Q517"/>
    </row>
    <row r="518" spans="1:17" x14ac:dyDescent="0.3">
      <c r="A518" s="1" t="s">
        <v>359</v>
      </c>
      <c r="B518" s="1" t="s">
        <v>79</v>
      </c>
      <c r="C518">
        <v>2020</v>
      </c>
      <c r="D518" s="7">
        <v>0.1288</v>
      </c>
      <c r="E518" s="7">
        <v>0.1313</v>
      </c>
      <c r="F518" s="7">
        <v>0.1578</v>
      </c>
      <c r="G518" s="7">
        <v>9.2399999999999996E-2</v>
      </c>
      <c r="H518" s="7">
        <v>0.15490000000000001</v>
      </c>
      <c r="I518" s="4">
        <v>0.1542</v>
      </c>
      <c r="J518" s="2">
        <v>0.1341</v>
      </c>
      <c r="K518" s="1" t="s">
        <v>619</v>
      </c>
      <c r="L518" s="4">
        <v>0.50776397515527905</v>
      </c>
      <c r="M518"/>
      <c r="N518"/>
      <c r="O518"/>
      <c r="P518"/>
      <c r="Q518"/>
    </row>
    <row r="519" spans="1:17" x14ac:dyDescent="0.3">
      <c r="A519" s="1" t="s">
        <v>358</v>
      </c>
      <c r="B519" s="1" t="s">
        <v>79</v>
      </c>
      <c r="C519">
        <v>2021</v>
      </c>
      <c r="D519" s="7">
        <v>0.17879999999999999</v>
      </c>
      <c r="E519" s="7">
        <v>0.15759999999999999</v>
      </c>
      <c r="F519" s="7">
        <v>0.20419999999999999</v>
      </c>
      <c r="G519" s="7">
        <v>0.14710000000000001</v>
      </c>
      <c r="H519" s="7">
        <v>0.1888</v>
      </c>
      <c r="I519" s="4">
        <v>0.21890000000000001</v>
      </c>
      <c r="J519" s="2">
        <v>0.1744</v>
      </c>
      <c r="K519" s="1" t="s">
        <v>619</v>
      </c>
      <c r="L519" s="4">
        <v>0.31935123042505598</v>
      </c>
      <c r="M519"/>
      <c r="N519"/>
      <c r="O519"/>
      <c r="P519"/>
      <c r="Q519"/>
    </row>
    <row r="520" spans="1:17" x14ac:dyDescent="0.3">
      <c r="A520" s="1" t="s">
        <v>357</v>
      </c>
      <c r="B520" s="1" t="s">
        <v>79</v>
      </c>
      <c r="C520">
        <v>2022</v>
      </c>
      <c r="D520" s="7">
        <v>0.188</v>
      </c>
      <c r="E520" s="7">
        <v>0.18740000000000001</v>
      </c>
      <c r="F520" s="7">
        <v>0.20979999999999999</v>
      </c>
      <c r="G520" s="7">
        <v>0.17399999999999999</v>
      </c>
      <c r="H520" s="7">
        <v>0.20050000000000001</v>
      </c>
      <c r="I520" s="4">
        <v>6.2E-2</v>
      </c>
      <c r="J520" s="2">
        <v>0.19289999999999999</v>
      </c>
      <c r="K520" s="1" t="s">
        <v>619</v>
      </c>
      <c r="L520" s="4">
        <v>0.190425531914894</v>
      </c>
      <c r="M520"/>
      <c r="N520"/>
      <c r="O520"/>
      <c r="P520"/>
      <c r="Q520"/>
    </row>
    <row r="521" spans="1:17" x14ac:dyDescent="0.3">
      <c r="A521" s="1" t="s">
        <v>356</v>
      </c>
      <c r="B521" s="1" t="s">
        <v>79</v>
      </c>
      <c r="C521">
        <v>2023</v>
      </c>
      <c r="D521" s="7">
        <v>0.2402</v>
      </c>
      <c r="E521" s="7">
        <v>0.20050000000000001</v>
      </c>
      <c r="F521" s="7">
        <v>0.2797</v>
      </c>
      <c r="G521" s="7">
        <v>0.1966</v>
      </c>
      <c r="H521" s="7">
        <v>0.2049</v>
      </c>
      <c r="I521" s="4">
        <v>2.1899999999999999E-2</v>
      </c>
      <c r="J521" s="2">
        <v>0.22040000000000001</v>
      </c>
      <c r="K521" s="1" t="s">
        <v>619</v>
      </c>
      <c r="L521" s="4">
        <v>0.34596169858451298</v>
      </c>
      <c r="M521"/>
      <c r="N521"/>
      <c r="O521"/>
      <c r="P521"/>
      <c r="Q521"/>
    </row>
    <row r="522" spans="1:17" x14ac:dyDescent="0.3">
      <c r="A522" s="1" t="s">
        <v>355</v>
      </c>
      <c r="B522" s="1" t="s">
        <v>79</v>
      </c>
      <c r="C522">
        <v>2024</v>
      </c>
      <c r="D522" s="7">
        <v>0.2127</v>
      </c>
      <c r="E522" s="7">
        <v>0.2049</v>
      </c>
      <c r="F522" s="7">
        <v>0.2445</v>
      </c>
      <c r="G522" s="7">
        <v>0.18099999999999999</v>
      </c>
      <c r="H522" s="7">
        <v>0.18959999999999999</v>
      </c>
      <c r="I522" s="4">
        <v>-7.4700000000000003E-2</v>
      </c>
      <c r="J522" s="2">
        <v>0.20499999999999999</v>
      </c>
      <c r="K522" s="1" t="s">
        <v>620</v>
      </c>
      <c r="L522" s="4">
        <v>0.29854254818993903</v>
      </c>
      <c r="M522"/>
      <c r="N522"/>
      <c r="O522"/>
      <c r="P522"/>
      <c r="Q522"/>
    </row>
    <row r="523" spans="1:17" x14ac:dyDescent="0.3">
      <c r="A523" s="1" t="s">
        <v>546</v>
      </c>
      <c r="B523" s="1" t="s">
        <v>81</v>
      </c>
      <c r="C523">
        <v>1960</v>
      </c>
      <c r="D523" s="7">
        <v>1.9554</v>
      </c>
      <c r="E523" s="7">
        <v>2.0470000000000002</v>
      </c>
      <c r="F523" s="7">
        <v>2.0870000000000002</v>
      </c>
      <c r="G523" s="7">
        <v>1.8169999999999999</v>
      </c>
      <c r="H523" s="7">
        <v>2.085</v>
      </c>
      <c r="I523" s="4">
        <v>2.1100000000000001E-2</v>
      </c>
      <c r="J523" s="2">
        <v>2.0089999999999999</v>
      </c>
      <c r="K523" s="1" t="s">
        <v>619</v>
      </c>
      <c r="L523" s="4">
        <v>0.13807916538815601</v>
      </c>
      <c r="M523"/>
      <c r="N523"/>
      <c r="O523"/>
      <c r="P523"/>
      <c r="Q523"/>
    </row>
    <row r="524" spans="1:17" x14ac:dyDescent="0.3">
      <c r="A524" s="1" t="s">
        <v>545</v>
      </c>
      <c r="B524" s="1" t="s">
        <v>81</v>
      </c>
      <c r="C524">
        <v>1961</v>
      </c>
      <c r="D524" s="7">
        <v>2.0091000000000001</v>
      </c>
      <c r="E524" s="7">
        <v>2.0840000000000001</v>
      </c>
      <c r="F524" s="7">
        <v>2.153</v>
      </c>
      <c r="G524" s="7">
        <v>1.85</v>
      </c>
      <c r="H524" s="7">
        <v>2.0720000000000001</v>
      </c>
      <c r="I524" s="4">
        <v>-6.1999999999999998E-3</v>
      </c>
      <c r="J524" s="2">
        <v>2.0398000000000001</v>
      </c>
      <c r="K524" s="1" t="s">
        <v>620</v>
      </c>
      <c r="L524" s="4">
        <v>0.15081379722263699</v>
      </c>
      <c r="M524"/>
      <c r="N524"/>
      <c r="O524"/>
      <c r="P524"/>
      <c r="Q524"/>
    </row>
    <row r="525" spans="1:17" x14ac:dyDescent="0.3">
      <c r="A525" s="1" t="s">
        <v>544</v>
      </c>
      <c r="B525" s="1" t="s">
        <v>81</v>
      </c>
      <c r="C525">
        <v>1962</v>
      </c>
      <c r="D525" s="7">
        <v>2.0897000000000001</v>
      </c>
      <c r="E525" s="7">
        <v>2.0630000000000002</v>
      </c>
      <c r="F525" s="7">
        <v>2.1659999999999999</v>
      </c>
      <c r="G525" s="7">
        <v>1.994</v>
      </c>
      <c r="H525" s="7">
        <v>2.1110000000000002</v>
      </c>
      <c r="I525" s="4">
        <v>1.8800000000000001E-2</v>
      </c>
      <c r="J525" s="2">
        <v>2.0834999999999999</v>
      </c>
      <c r="K525" s="1" t="s">
        <v>619</v>
      </c>
      <c r="L525" s="4">
        <v>8.2308465329951605E-2</v>
      </c>
      <c r="M525"/>
      <c r="N525"/>
      <c r="O525"/>
      <c r="P525"/>
      <c r="Q525"/>
    </row>
    <row r="526" spans="1:17" x14ac:dyDescent="0.3">
      <c r="A526" s="1" t="s">
        <v>543</v>
      </c>
      <c r="B526" s="1" t="s">
        <v>81</v>
      </c>
      <c r="C526">
        <v>1963</v>
      </c>
      <c r="D526" s="7">
        <v>2.0022000000000002</v>
      </c>
      <c r="E526" s="7">
        <v>2.1059999999999999</v>
      </c>
      <c r="F526" s="7">
        <v>2.1970000000000001</v>
      </c>
      <c r="G526" s="7">
        <v>1.7649999999999999</v>
      </c>
      <c r="H526" s="7">
        <v>2.194</v>
      </c>
      <c r="I526" s="4">
        <v>3.9300000000000002E-2</v>
      </c>
      <c r="J526" s="2">
        <v>2.0655000000000001</v>
      </c>
      <c r="K526" s="1" t="s">
        <v>619</v>
      </c>
      <c r="L526" s="4">
        <v>0.21576266107281999</v>
      </c>
      <c r="M526"/>
      <c r="N526"/>
      <c r="O526"/>
      <c r="P526"/>
      <c r="Q526"/>
    </row>
    <row r="527" spans="1:17" x14ac:dyDescent="0.3">
      <c r="A527" s="1" t="s">
        <v>542</v>
      </c>
      <c r="B527" s="1" t="s">
        <v>81</v>
      </c>
      <c r="C527">
        <v>1964</v>
      </c>
      <c r="D527" s="7">
        <v>1.6819999999999999</v>
      </c>
      <c r="E527" s="7">
        <v>2.1930000000000001</v>
      </c>
      <c r="F527" s="7">
        <v>2.2349999999999999</v>
      </c>
      <c r="G527" s="7">
        <v>1.4019999999999999</v>
      </c>
      <c r="H527" s="7">
        <v>1.4970000000000001</v>
      </c>
      <c r="I527" s="4">
        <v>-0.31769999999999998</v>
      </c>
      <c r="J527" s="2">
        <v>1.8318000000000001</v>
      </c>
      <c r="K527" s="1" t="s">
        <v>620</v>
      </c>
      <c r="L527" s="4">
        <v>0.49524375743162902</v>
      </c>
      <c r="M527"/>
      <c r="N527"/>
      <c r="O527"/>
      <c r="P527"/>
      <c r="Q527"/>
    </row>
    <row r="528" spans="1:17" x14ac:dyDescent="0.3">
      <c r="A528" s="1" t="s">
        <v>541</v>
      </c>
      <c r="B528" s="1" t="s">
        <v>81</v>
      </c>
      <c r="C528">
        <v>1965</v>
      </c>
      <c r="D528" s="7">
        <v>1.5208999999999999</v>
      </c>
      <c r="E528" s="7">
        <v>1.5009999999999999</v>
      </c>
      <c r="F528" s="7">
        <v>1.7250000000000001</v>
      </c>
      <c r="G528" s="7">
        <v>1.3819999999999999</v>
      </c>
      <c r="H528" s="7">
        <v>1.6850000000000001</v>
      </c>
      <c r="I528" s="4">
        <v>0.12559999999999999</v>
      </c>
      <c r="J528" s="2">
        <v>1.5731999999999999</v>
      </c>
      <c r="K528" s="1" t="s">
        <v>619</v>
      </c>
      <c r="L528" s="4">
        <v>0.225524360575975</v>
      </c>
      <c r="M528"/>
      <c r="N528"/>
      <c r="O528"/>
      <c r="P528"/>
      <c r="Q528"/>
    </row>
    <row r="529" spans="1:17" x14ac:dyDescent="0.3">
      <c r="A529" s="1" t="s">
        <v>540</v>
      </c>
      <c r="B529" s="1" t="s">
        <v>81</v>
      </c>
      <c r="C529">
        <v>1966</v>
      </c>
      <c r="D529" s="7">
        <v>1.7428999999999999</v>
      </c>
      <c r="E529" s="7">
        <v>1.6970000000000001</v>
      </c>
      <c r="F529" s="7">
        <v>1.992</v>
      </c>
      <c r="G529" s="7">
        <v>1.5669999999999999</v>
      </c>
      <c r="H529" s="7">
        <v>1.756</v>
      </c>
      <c r="I529" s="4">
        <v>4.2099999999999999E-2</v>
      </c>
      <c r="J529" s="2">
        <v>1.7529999999999999</v>
      </c>
      <c r="K529" s="1" t="s">
        <v>619</v>
      </c>
      <c r="L529" s="4">
        <v>0.243846462791899</v>
      </c>
      <c r="M529"/>
      <c r="N529"/>
      <c r="O529"/>
      <c r="P529"/>
      <c r="Q529"/>
    </row>
    <row r="530" spans="1:17" x14ac:dyDescent="0.3">
      <c r="A530" s="1" t="s">
        <v>539</v>
      </c>
      <c r="B530" s="1" t="s">
        <v>81</v>
      </c>
      <c r="C530">
        <v>1967</v>
      </c>
      <c r="D530" s="7">
        <v>1.5998000000000001</v>
      </c>
      <c r="E530" s="7">
        <v>1.744</v>
      </c>
      <c r="F530" s="7">
        <v>1.87</v>
      </c>
      <c r="G530" s="7">
        <v>1.4330000000000001</v>
      </c>
      <c r="H530" s="7">
        <v>1.4770000000000001</v>
      </c>
      <c r="I530" s="4">
        <v>-0.15890000000000001</v>
      </c>
      <c r="J530" s="2">
        <v>1.631</v>
      </c>
      <c r="K530" s="1" t="s">
        <v>620</v>
      </c>
      <c r="L530" s="4">
        <v>0.27315914489311199</v>
      </c>
      <c r="M530"/>
      <c r="N530"/>
      <c r="O530"/>
      <c r="P530"/>
      <c r="Q530"/>
    </row>
    <row r="531" spans="1:17" x14ac:dyDescent="0.3">
      <c r="A531" s="1" t="s">
        <v>538</v>
      </c>
      <c r="B531" s="1" t="s">
        <v>81</v>
      </c>
      <c r="C531">
        <v>1968</v>
      </c>
      <c r="D531" s="7">
        <v>1.3451</v>
      </c>
      <c r="E531" s="7">
        <v>1.462</v>
      </c>
      <c r="F531" s="7">
        <v>1.546</v>
      </c>
      <c r="G531" s="7">
        <v>1.171</v>
      </c>
      <c r="H531" s="7">
        <v>1.355</v>
      </c>
      <c r="I531" s="4">
        <v>-8.2600000000000007E-2</v>
      </c>
      <c r="J531" s="2">
        <v>1.3835</v>
      </c>
      <c r="K531" s="1" t="s">
        <v>620</v>
      </c>
      <c r="L531" s="4">
        <v>0.278789681064605</v>
      </c>
      <c r="M531"/>
      <c r="N531"/>
      <c r="O531"/>
      <c r="P531"/>
      <c r="Q531"/>
    </row>
    <row r="532" spans="1:17" x14ac:dyDescent="0.3">
      <c r="A532" s="1" t="s">
        <v>537</v>
      </c>
      <c r="B532" s="1" t="s">
        <v>81</v>
      </c>
      <c r="C532">
        <v>1969</v>
      </c>
      <c r="D532" s="7">
        <v>1.3286</v>
      </c>
      <c r="E532" s="7">
        <v>1.3525</v>
      </c>
      <c r="F532" s="7">
        <v>1.48</v>
      </c>
      <c r="G532" s="7">
        <v>1.2124999999999999</v>
      </c>
      <c r="H532" s="7">
        <v>1.4738</v>
      </c>
      <c r="I532" s="4">
        <v>8.77E-2</v>
      </c>
      <c r="J532" s="2">
        <v>1.3796999999999999</v>
      </c>
      <c r="K532" s="1" t="s">
        <v>619</v>
      </c>
      <c r="L532" s="4">
        <v>0.20133975613427699</v>
      </c>
      <c r="M532"/>
      <c r="N532"/>
      <c r="O532"/>
      <c r="P532"/>
      <c r="Q532"/>
    </row>
    <row r="533" spans="1:17" x14ac:dyDescent="0.3">
      <c r="A533" s="1" t="s">
        <v>536</v>
      </c>
      <c r="B533" s="1" t="s">
        <v>81</v>
      </c>
      <c r="C533">
        <v>1970</v>
      </c>
      <c r="D533" s="7">
        <v>1.5341</v>
      </c>
      <c r="E533" s="7">
        <v>1.4538</v>
      </c>
      <c r="F533" s="7">
        <v>1.79</v>
      </c>
      <c r="G533" s="7">
        <v>1.345</v>
      </c>
      <c r="H533" s="7">
        <v>1.6850000000000001</v>
      </c>
      <c r="I533" s="4">
        <v>0.14330000000000001</v>
      </c>
      <c r="J533" s="2">
        <v>1.5684</v>
      </c>
      <c r="K533" s="1" t="s">
        <v>619</v>
      </c>
      <c r="L533" s="4">
        <v>0.29007235512678398</v>
      </c>
      <c r="M533"/>
      <c r="N533"/>
      <c r="O533"/>
      <c r="P533"/>
      <c r="Q533"/>
    </row>
    <row r="534" spans="1:17" x14ac:dyDescent="0.3">
      <c r="A534" s="1" t="s">
        <v>535</v>
      </c>
      <c r="B534" s="1" t="s">
        <v>81</v>
      </c>
      <c r="C534">
        <v>1971</v>
      </c>
      <c r="D534" s="7">
        <v>1.5757000000000001</v>
      </c>
      <c r="E534" s="7">
        <v>1.6788000000000001</v>
      </c>
      <c r="F534" s="7">
        <v>1.7250000000000001</v>
      </c>
      <c r="G534" s="7">
        <v>1.415</v>
      </c>
      <c r="H534" s="7">
        <v>1.6313</v>
      </c>
      <c r="I534" s="4">
        <v>-3.1899999999999998E-2</v>
      </c>
      <c r="J534" s="2">
        <v>1.6125</v>
      </c>
      <c r="K534" s="1" t="s">
        <v>620</v>
      </c>
      <c r="L534" s="4">
        <v>0.19673795773307101</v>
      </c>
      <c r="M534"/>
      <c r="N534"/>
      <c r="O534"/>
      <c r="P534"/>
      <c r="Q534"/>
    </row>
    <row r="535" spans="1:17" x14ac:dyDescent="0.3">
      <c r="A535" s="1" t="s">
        <v>534</v>
      </c>
      <c r="B535" s="1" t="s">
        <v>81</v>
      </c>
      <c r="C535">
        <v>1972</v>
      </c>
      <c r="D535" s="7">
        <v>1.8039000000000001</v>
      </c>
      <c r="E535" s="7">
        <v>1.6188</v>
      </c>
      <c r="F535" s="7">
        <v>2.6949999999999998</v>
      </c>
      <c r="G535" s="7">
        <v>1.4013</v>
      </c>
      <c r="H535" s="7">
        <v>2.64</v>
      </c>
      <c r="I535" s="4">
        <v>0.61829999999999996</v>
      </c>
      <c r="J535" s="2">
        <v>2.0888</v>
      </c>
      <c r="K535" s="1" t="s">
        <v>619</v>
      </c>
      <c r="L535" s="4">
        <v>0.71716835744775198</v>
      </c>
      <c r="M535"/>
      <c r="N535"/>
      <c r="O535"/>
      <c r="P535"/>
      <c r="Q535"/>
    </row>
    <row r="536" spans="1:17" x14ac:dyDescent="0.3">
      <c r="A536" s="1" t="s">
        <v>533</v>
      </c>
      <c r="B536" s="1" t="s">
        <v>81</v>
      </c>
      <c r="C536">
        <v>1973</v>
      </c>
      <c r="D536" s="7">
        <v>3.4883000000000002</v>
      </c>
      <c r="E536" s="7">
        <v>2.5924999999999998</v>
      </c>
      <c r="F536" s="7">
        <v>5.45</v>
      </c>
      <c r="G536" s="7">
        <v>2.1475</v>
      </c>
      <c r="H536" s="7">
        <v>5.45</v>
      </c>
      <c r="I536" s="4">
        <v>1.0644</v>
      </c>
      <c r="J536" s="2">
        <v>3.91</v>
      </c>
      <c r="K536" s="1" t="s">
        <v>619</v>
      </c>
      <c r="L536" s="4">
        <v>0.94673623254880601</v>
      </c>
      <c r="M536"/>
      <c r="N536"/>
      <c r="O536"/>
      <c r="P536"/>
      <c r="Q536"/>
    </row>
    <row r="537" spans="1:17" x14ac:dyDescent="0.3">
      <c r="A537" s="1" t="s">
        <v>532</v>
      </c>
      <c r="B537" s="1" t="s">
        <v>81</v>
      </c>
      <c r="C537">
        <v>1974</v>
      </c>
      <c r="D537" s="7">
        <v>4.7134999999999998</v>
      </c>
      <c r="E537" s="7">
        <v>5.5449999999999999</v>
      </c>
      <c r="F537" s="7">
        <v>6.3360000000000003</v>
      </c>
      <c r="G537" s="7">
        <v>3.36</v>
      </c>
      <c r="H537" s="7">
        <v>4.585</v>
      </c>
      <c r="I537" s="4">
        <v>-0.15870000000000001</v>
      </c>
      <c r="J537" s="2">
        <v>4.9565000000000001</v>
      </c>
      <c r="K537" s="1" t="s">
        <v>620</v>
      </c>
      <c r="L537" s="4">
        <v>0.63137795693221599</v>
      </c>
      <c r="M537"/>
      <c r="N537"/>
      <c r="O537"/>
      <c r="P537"/>
      <c r="Q537"/>
    </row>
    <row r="538" spans="1:17" x14ac:dyDescent="0.3">
      <c r="A538" s="1" t="s">
        <v>531</v>
      </c>
      <c r="B538" s="1" t="s">
        <v>81</v>
      </c>
      <c r="C538">
        <v>1975</v>
      </c>
      <c r="D538" s="7">
        <v>3.6960000000000002</v>
      </c>
      <c r="E538" s="7">
        <v>4.5774999999999997</v>
      </c>
      <c r="F538" s="7">
        <v>4.5774999999999997</v>
      </c>
      <c r="G538" s="7">
        <v>2.9575</v>
      </c>
      <c r="H538" s="7">
        <v>3.3574999999999999</v>
      </c>
      <c r="I538" s="4">
        <v>-0.26769999999999999</v>
      </c>
      <c r="J538" s="2">
        <v>3.8675000000000002</v>
      </c>
      <c r="K538" s="1" t="s">
        <v>620</v>
      </c>
      <c r="L538" s="4">
        <v>0.43831168831168799</v>
      </c>
      <c r="M538"/>
      <c r="N538"/>
      <c r="O538"/>
      <c r="P538"/>
      <c r="Q538"/>
    </row>
    <row r="539" spans="1:17" x14ac:dyDescent="0.3">
      <c r="A539" s="1" t="s">
        <v>530</v>
      </c>
      <c r="B539" s="1" t="s">
        <v>81</v>
      </c>
      <c r="C539">
        <v>1976</v>
      </c>
      <c r="D539" s="7">
        <v>3.3262999999999998</v>
      </c>
      <c r="E539" s="7">
        <v>3.38</v>
      </c>
      <c r="F539" s="7">
        <v>3.9975000000000001</v>
      </c>
      <c r="G539" s="7">
        <v>2.5575000000000001</v>
      </c>
      <c r="H539" s="7">
        <v>2.7749999999999999</v>
      </c>
      <c r="I539" s="4">
        <v>-0.17349999999999999</v>
      </c>
      <c r="J539" s="2">
        <v>3.1775000000000002</v>
      </c>
      <c r="K539" s="1" t="s">
        <v>620</v>
      </c>
      <c r="L539" s="4">
        <v>0.43291344737395898</v>
      </c>
      <c r="M539"/>
      <c r="N539"/>
      <c r="O539"/>
      <c r="P539"/>
      <c r="Q539"/>
    </row>
    <row r="540" spans="1:17" x14ac:dyDescent="0.3">
      <c r="A540" s="1" t="s">
        <v>529</v>
      </c>
      <c r="B540" s="1" t="s">
        <v>81</v>
      </c>
      <c r="C540">
        <v>1977</v>
      </c>
      <c r="D540" s="7">
        <v>2.5764999999999998</v>
      </c>
      <c r="E540" s="7">
        <v>2.7450000000000001</v>
      </c>
      <c r="F540" s="7">
        <v>2.8835000000000002</v>
      </c>
      <c r="G540" s="7">
        <v>2.1475</v>
      </c>
      <c r="H540" s="7">
        <v>2.7925</v>
      </c>
      <c r="I540" s="4">
        <v>6.3E-3</v>
      </c>
      <c r="J540" s="2">
        <v>2.6421000000000001</v>
      </c>
      <c r="K540" s="1" t="s">
        <v>619</v>
      </c>
      <c r="L540" s="4">
        <v>0.28565883951096499</v>
      </c>
      <c r="M540"/>
      <c r="N540"/>
      <c r="O540"/>
      <c r="P540"/>
      <c r="Q540"/>
    </row>
    <row r="541" spans="1:17" x14ac:dyDescent="0.3">
      <c r="A541" s="1" t="s">
        <v>528</v>
      </c>
      <c r="B541" s="1" t="s">
        <v>81</v>
      </c>
      <c r="C541">
        <v>1978</v>
      </c>
      <c r="D541" s="7">
        <v>3.1800999999999999</v>
      </c>
      <c r="E541" s="7">
        <v>2.75</v>
      </c>
      <c r="F541" s="7">
        <v>3.75</v>
      </c>
      <c r="G541" s="7">
        <v>2.5819999999999999</v>
      </c>
      <c r="H541" s="7">
        <v>3.4325000000000001</v>
      </c>
      <c r="I541" s="4">
        <v>0.22919999999999999</v>
      </c>
      <c r="J541" s="2">
        <v>3.1286</v>
      </c>
      <c r="K541" s="1" t="s">
        <v>619</v>
      </c>
      <c r="L541" s="4">
        <v>0.367284047671457</v>
      </c>
      <c r="M541"/>
      <c r="N541"/>
      <c r="O541"/>
      <c r="P541"/>
      <c r="Q541"/>
    </row>
    <row r="542" spans="1:17" x14ac:dyDescent="0.3">
      <c r="A542" s="1" t="s">
        <v>527</v>
      </c>
      <c r="B542" s="1" t="s">
        <v>81</v>
      </c>
      <c r="C542">
        <v>1979</v>
      </c>
      <c r="D542" s="7">
        <v>4.0198</v>
      </c>
      <c r="E542" s="7">
        <v>3.4075000000000002</v>
      </c>
      <c r="F542" s="7">
        <v>4.8375000000000004</v>
      </c>
      <c r="G542" s="7">
        <v>3.3224999999999998</v>
      </c>
      <c r="H542" s="7">
        <v>4.5425000000000004</v>
      </c>
      <c r="I542" s="4">
        <v>0.32340000000000002</v>
      </c>
      <c r="J542" s="2">
        <v>4.0274999999999999</v>
      </c>
      <c r="K542" s="1" t="s">
        <v>619</v>
      </c>
      <c r="L542" s="4">
        <v>0.37688442211055301</v>
      </c>
      <c r="M542"/>
      <c r="N542"/>
      <c r="O542"/>
      <c r="P542"/>
      <c r="Q542"/>
    </row>
    <row r="543" spans="1:17" x14ac:dyDescent="0.3">
      <c r="A543" s="1" t="s">
        <v>526</v>
      </c>
      <c r="B543" s="1" t="s">
        <v>81</v>
      </c>
      <c r="C543">
        <v>1980</v>
      </c>
      <c r="D543" s="7">
        <v>4.569</v>
      </c>
      <c r="E543" s="7">
        <v>4.4550000000000001</v>
      </c>
      <c r="F543" s="7">
        <v>5.415</v>
      </c>
      <c r="G543" s="7">
        <v>3.8050000000000002</v>
      </c>
      <c r="H543" s="7">
        <v>5.01</v>
      </c>
      <c r="I543" s="4">
        <v>0.10290000000000001</v>
      </c>
      <c r="J543" s="2">
        <v>4.6711999999999998</v>
      </c>
      <c r="K543" s="1" t="s">
        <v>619</v>
      </c>
      <c r="L543" s="4">
        <v>0.35237469905887497</v>
      </c>
      <c r="M543"/>
      <c r="N543"/>
      <c r="O543"/>
      <c r="P543"/>
      <c r="Q543"/>
    </row>
    <row r="544" spans="1:17" x14ac:dyDescent="0.3">
      <c r="A544" s="1" t="s">
        <v>525</v>
      </c>
      <c r="B544" s="1" t="s">
        <v>81</v>
      </c>
      <c r="C544">
        <v>1981</v>
      </c>
      <c r="D544" s="7">
        <v>4.2816999999999998</v>
      </c>
      <c r="E544" s="7">
        <v>5.085</v>
      </c>
      <c r="F544" s="7">
        <v>5.085</v>
      </c>
      <c r="G544" s="7">
        <v>3.7625000000000002</v>
      </c>
      <c r="H544" s="7">
        <v>3.915</v>
      </c>
      <c r="I544" s="4">
        <v>-0.21859999999999999</v>
      </c>
      <c r="J544" s="2">
        <v>4.4619</v>
      </c>
      <c r="K544" s="1" t="s">
        <v>620</v>
      </c>
      <c r="L544" s="4">
        <v>0.30887264404325399</v>
      </c>
      <c r="M544"/>
      <c r="N544"/>
      <c r="O544"/>
      <c r="P544"/>
      <c r="Q544"/>
    </row>
    <row r="545" spans="1:17" x14ac:dyDescent="0.3">
      <c r="A545" s="1" t="s">
        <v>524</v>
      </c>
      <c r="B545" s="1" t="s">
        <v>81</v>
      </c>
      <c r="C545">
        <v>1982</v>
      </c>
      <c r="D545" s="7">
        <v>3.5091999999999999</v>
      </c>
      <c r="E545" s="7">
        <v>3.9075000000000002</v>
      </c>
      <c r="F545" s="7">
        <v>4.0199999999999996</v>
      </c>
      <c r="G545" s="7">
        <v>3.0175000000000001</v>
      </c>
      <c r="H545" s="7">
        <v>3.3075000000000001</v>
      </c>
      <c r="I545" s="4">
        <v>-0.1552</v>
      </c>
      <c r="J545" s="2">
        <v>3.5630999999999999</v>
      </c>
      <c r="K545" s="1" t="s">
        <v>620</v>
      </c>
      <c r="L545" s="4">
        <v>0.285677647327026</v>
      </c>
      <c r="M545"/>
      <c r="N545"/>
      <c r="O545"/>
      <c r="P545"/>
      <c r="Q545"/>
    </row>
    <row r="546" spans="1:17" x14ac:dyDescent="0.3">
      <c r="A546" s="1" t="s">
        <v>523</v>
      </c>
      <c r="B546" s="1" t="s">
        <v>81</v>
      </c>
      <c r="C546">
        <v>1983</v>
      </c>
      <c r="D546" s="7">
        <v>3.5670000000000002</v>
      </c>
      <c r="E546" s="7">
        <v>3.2425000000000002</v>
      </c>
      <c r="F546" s="7">
        <v>4.0774999999999997</v>
      </c>
      <c r="G546" s="7">
        <v>3.1844999999999999</v>
      </c>
      <c r="H546" s="7">
        <v>3.6349999999999998</v>
      </c>
      <c r="I546" s="4">
        <v>9.9000000000000005E-2</v>
      </c>
      <c r="J546" s="2">
        <v>3.5348999999999999</v>
      </c>
      <c r="K546" s="1" t="s">
        <v>619</v>
      </c>
      <c r="L546" s="4">
        <v>0.25035043453882799</v>
      </c>
      <c r="M546"/>
      <c r="N546"/>
      <c r="O546"/>
      <c r="P546"/>
      <c r="Q546"/>
    </row>
    <row r="547" spans="1:17" x14ac:dyDescent="0.3">
      <c r="A547" s="1" t="s">
        <v>522</v>
      </c>
      <c r="B547" s="1" t="s">
        <v>81</v>
      </c>
      <c r="C547">
        <v>1984</v>
      </c>
      <c r="D547" s="7">
        <v>3.5085999999999999</v>
      </c>
      <c r="E547" s="7">
        <v>3.54</v>
      </c>
      <c r="F547" s="7">
        <v>3.7725</v>
      </c>
      <c r="G547" s="7">
        <v>3.2174999999999998</v>
      </c>
      <c r="H547" s="7">
        <v>3.4775</v>
      </c>
      <c r="I547" s="4">
        <v>-4.3299999999999998E-2</v>
      </c>
      <c r="J547" s="2">
        <v>3.5019</v>
      </c>
      <c r="K547" s="1" t="s">
        <v>620</v>
      </c>
      <c r="L547" s="4">
        <v>0.158182750954797</v>
      </c>
      <c r="M547"/>
      <c r="N547"/>
      <c r="O547"/>
      <c r="P547"/>
      <c r="Q547"/>
    </row>
    <row r="548" spans="1:17" x14ac:dyDescent="0.3">
      <c r="A548" s="1" t="s">
        <v>521</v>
      </c>
      <c r="B548" s="1" t="s">
        <v>81</v>
      </c>
      <c r="C548">
        <v>1985</v>
      </c>
      <c r="D548" s="7">
        <v>3.2565</v>
      </c>
      <c r="E548" s="7">
        <v>3.4624999999999999</v>
      </c>
      <c r="F548" s="7">
        <v>3.7075</v>
      </c>
      <c r="G548" s="7">
        <v>2.7475000000000001</v>
      </c>
      <c r="H548" s="7">
        <v>3.4325000000000001</v>
      </c>
      <c r="I548" s="4">
        <v>-1.29E-2</v>
      </c>
      <c r="J548" s="2">
        <v>3.3374999999999999</v>
      </c>
      <c r="K548" s="1" t="s">
        <v>620</v>
      </c>
      <c r="L548" s="4">
        <v>0.29479502533394802</v>
      </c>
      <c r="M548"/>
      <c r="N548"/>
      <c r="O548"/>
      <c r="P548"/>
      <c r="Q548"/>
    </row>
    <row r="549" spans="1:17" x14ac:dyDescent="0.3">
      <c r="A549" s="1" t="s">
        <v>520</v>
      </c>
      <c r="B549" s="1" t="s">
        <v>81</v>
      </c>
      <c r="C549">
        <v>1986</v>
      </c>
      <c r="D549" s="7">
        <v>2.8086000000000002</v>
      </c>
      <c r="E549" s="7">
        <v>3.395</v>
      </c>
      <c r="F549" s="7">
        <v>3.395</v>
      </c>
      <c r="G549" s="7">
        <v>2.4049999999999998</v>
      </c>
      <c r="H549" s="7">
        <v>2.7450000000000001</v>
      </c>
      <c r="I549" s="4">
        <v>-0.20030000000000001</v>
      </c>
      <c r="J549" s="2">
        <v>2.9849999999999999</v>
      </c>
      <c r="K549" s="1" t="s">
        <v>620</v>
      </c>
      <c r="L549" s="4">
        <v>0.35248878444776799</v>
      </c>
      <c r="M549"/>
      <c r="N549"/>
      <c r="O549"/>
      <c r="P549"/>
      <c r="Q549"/>
    </row>
    <row r="550" spans="1:17" x14ac:dyDescent="0.3">
      <c r="A550" s="1" t="s">
        <v>519</v>
      </c>
      <c r="B550" s="1" t="s">
        <v>81</v>
      </c>
      <c r="C550">
        <v>1987</v>
      </c>
      <c r="D550" s="7">
        <v>2.8536999999999999</v>
      </c>
      <c r="E550" s="7">
        <v>2.73</v>
      </c>
      <c r="F550" s="7">
        <v>3.21</v>
      </c>
      <c r="G550" s="7">
        <v>2.5674999999999999</v>
      </c>
      <c r="H550" s="7">
        <v>3.1074999999999999</v>
      </c>
      <c r="I550" s="4">
        <v>0.1321</v>
      </c>
      <c r="J550" s="2">
        <v>2.9037999999999999</v>
      </c>
      <c r="K550" s="1" t="s">
        <v>619</v>
      </c>
      <c r="L550" s="4">
        <v>0.22514630129305799</v>
      </c>
      <c r="M550"/>
      <c r="N550"/>
      <c r="O550"/>
      <c r="P550"/>
      <c r="Q550"/>
    </row>
    <row r="551" spans="1:17" x14ac:dyDescent="0.3">
      <c r="A551" s="1" t="s">
        <v>518</v>
      </c>
      <c r="B551" s="1" t="s">
        <v>81</v>
      </c>
      <c r="C551">
        <v>1988</v>
      </c>
      <c r="D551" s="7">
        <v>3.7029999999999998</v>
      </c>
      <c r="E551" s="7">
        <v>3.1425000000000001</v>
      </c>
      <c r="F551" s="7">
        <v>4.4050000000000002</v>
      </c>
      <c r="G551" s="7">
        <v>2.9775</v>
      </c>
      <c r="H551" s="7">
        <v>4.4000000000000004</v>
      </c>
      <c r="I551" s="4">
        <v>0.41589999999999999</v>
      </c>
      <c r="J551" s="2">
        <v>3.7311999999999999</v>
      </c>
      <c r="K551" s="1" t="s">
        <v>619</v>
      </c>
      <c r="L551" s="4">
        <v>0.38549824466648702</v>
      </c>
      <c r="M551"/>
      <c r="N551"/>
      <c r="O551"/>
      <c r="P551"/>
      <c r="Q551"/>
    </row>
    <row r="552" spans="1:17" x14ac:dyDescent="0.3">
      <c r="A552" s="1" t="s">
        <v>517</v>
      </c>
      <c r="B552" s="1" t="s">
        <v>81</v>
      </c>
      <c r="C552">
        <v>1989</v>
      </c>
      <c r="D552" s="7">
        <v>4.0967000000000002</v>
      </c>
      <c r="E552" s="7">
        <v>4.3925000000000001</v>
      </c>
      <c r="F552" s="7">
        <v>4.4874999999999998</v>
      </c>
      <c r="G552" s="7">
        <v>3.8174999999999999</v>
      </c>
      <c r="H552" s="7">
        <v>4.0925000000000002</v>
      </c>
      <c r="I552" s="4">
        <v>-6.9900000000000004E-2</v>
      </c>
      <c r="J552" s="2">
        <v>4.1974999999999998</v>
      </c>
      <c r="K552" s="1" t="s">
        <v>620</v>
      </c>
      <c r="L552" s="4">
        <v>0.163546268948178</v>
      </c>
      <c r="M552"/>
      <c r="N552"/>
      <c r="O552"/>
      <c r="P552"/>
      <c r="Q552"/>
    </row>
    <row r="553" spans="1:17" x14ac:dyDescent="0.3">
      <c r="A553" s="1" t="s">
        <v>516</v>
      </c>
      <c r="B553" s="1" t="s">
        <v>81</v>
      </c>
      <c r="C553">
        <v>1990</v>
      </c>
      <c r="D553" s="7">
        <v>3.1867999999999999</v>
      </c>
      <c r="E553" s="7">
        <v>4.0875000000000004</v>
      </c>
      <c r="F553" s="7">
        <v>4.0999999999999996</v>
      </c>
      <c r="G553" s="7">
        <v>2.4350000000000001</v>
      </c>
      <c r="H553" s="7">
        <v>2.605</v>
      </c>
      <c r="I553" s="4">
        <v>-0.36349999999999999</v>
      </c>
      <c r="J553" s="2">
        <v>3.3069000000000002</v>
      </c>
      <c r="K553" s="1" t="s">
        <v>620</v>
      </c>
      <c r="L553" s="4">
        <v>0.52246767917660297</v>
      </c>
      <c r="M553"/>
      <c r="N553"/>
      <c r="O553"/>
      <c r="P553"/>
      <c r="Q553"/>
    </row>
    <row r="554" spans="1:17" x14ac:dyDescent="0.3">
      <c r="A554" s="1" t="s">
        <v>515</v>
      </c>
      <c r="B554" s="1" t="s">
        <v>81</v>
      </c>
      <c r="C554">
        <v>1991</v>
      </c>
      <c r="D554" s="7">
        <v>3.0476000000000001</v>
      </c>
      <c r="E554" s="7">
        <v>2.6349999999999998</v>
      </c>
      <c r="F554" s="7">
        <v>4.0575000000000001</v>
      </c>
      <c r="G554" s="7">
        <v>2.4624999999999999</v>
      </c>
      <c r="H554" s="7">
        <v>4.0475000000000003</v>
      </c>
      <c r="I554" s="4">
        <v>0.55369999999999997</v>
      </c>
      <c r="J554" s="2">
        <v>3.3006000000000002</v>
      </c>
      <c r="K554" s="1" t="s">
        <v>619</v>
      </c>
      <c r="L554" s="4">
        <v>0.52336264601653804</v>
      </c>
      <c r="M554"/>
      <c r="N554"/>
      <c r="O554"/>
      <c r="P554"/>
      <c r="Q554"/>
    </row>
    <row r="555" spans="1:17" x14ac:dyDescent="0.3">
      <c r="A555" s="1" t="s">
        <v>514</v>
      </c>
      <c r="B555" s="1" t="s">
        <v>81</v>
      </c>
      <c r="C555">
        <v>1992</v>
      </c>
      <c r="D555" s="7">
        <v>3.6520999999999999</v>
      </c>
      <c r="E555" s="7">
        <v>4.0075000000000003</v>
      </c>
      <c r="F555" s="7">
        <v>4.5949999999999998</v>
      </c>
      <c r="G555" s="7">
        <v>3.0575000000000001</v>
      </c>
      <c r="H555" s="7">
        <v>3.5375000000000001</v>
      </c>
      <c r="I555" s="4">
        <v>-0.126</v>
      </c>
      <c r="J555" s="2">
        <v>3.7993999999999999</v>
      </c>
      <c r="K555" s="1" t="s">
        <v>620</v>
      </c>
      <c r="L555" s="4">
        <v>0.42099066290627302</v>
      </c>
      <c r="M555"/>
      <c r="N555"/>
      <c r="O555"/>
      <c r="P555"/>
      <c r="Q555"/>
    </row>
    <row r="556" spans="1:17" x14ac:dyDescent="0.3">
      <c r="A556" s="1" t="s">
        <v>513</v>
      </c>
      <c r="B556" s="1" t="s">
        <v>81</v>
      </c>
      <c r="C556">
        <v>1993</v>
      </c>
      <c r="D556" s="7">
        <v>3.3035000000000001</v>
      </c>
      <c r="E556" s="7">
        <v>3.6124999999999998</v>
      </c>
      <c r="F556" s="7">
        <v>3.9249999999999998</v>
      </c>
      <c r="G556" s="7">
        <v>2.7749999999999999</v>
      </c>
      <c r="H556" s="7">
        <v>3.7825000000000002</v>
      </c>
      <c r="I556" s="4">
        <v>6.93E-2</v>
      </c>
      <c r="J556" s="2">
        <v>3.5238</v>
      </c>
      <c r="K556" s="1" t="s">
        <v>619</v>
      </c>
      <c r="L556" s="4">
        <v>0.34811563493264702</v>
      </c>
      <c r="M556"/>
      <c r="N556"/>
      <c r="O556"/>
      <c r="P556"/>
      <c r="Q556"/>
    </row>
    <row r="557" spans="1:17" x14ac:dyDescent="0.3">
      <c r="A557" s="1" t="s">
        <v>512</v>
      </c>
      <c r="B557" s="1" t="s">
        <v>81</v>
      </c>
      <c r="C557">
        <v>1994</v>
      </c>
      <c r="D557" s="7">
        <v>3.5871</v>
      </c>
      <c r="E557" s="7">
        <v>3.7275</v>
      </c>
      <c r="F557" s="7">
        <v>4.1624999999999996</v>
      </c>
      <c r="G557" s="7">
        <v>3.1349999999999998</v>
      </c>
      <c r="H557" s="7">
        <v>4.0149999999999997</v>
      </c>
      <c r="I557" s="4">
        <v>6.1499999999999999E-2</v>
      </c>
      <c r="J557" s="2">
        <v>3.76</v>
      </c>
      <c r="K557" s="1" t="s">
        <v>619</v>
      </c>
      <c r="L557" s="4">
        <v>0.28644308773103599</v>
      </c>
      <c r="M557"/>
      <c r="N557"/>
      <c r="O557"/>
      <c r="P557"/>
      <c r="Q557"/>
    </row>
    <row r="558" spans="1:17" x14ac:dyDescent="0.3">
      <c r="A558" s="1" t="s">
        <v>511</v>
      </c>
      <c r="B558" s="1" t="s">
        <v>81</v>
      </c>
      <c r="C558">
        <v>1995</v>
      </c>
      <c r="D558" s="7">
        <v>4.2164000000000001</v>
      </c>
      <c r="E558" s="7">
        <v>3.9550000000000001</v>
      </c>
      <c r="F558" s="7">
        <v>5.1224999999999996</v>
      </c>
      <c r="G558" s="7">
        <v>3.415</v>
      </c>
      <c r="H558" s="7">
        <v>5.1224999999999996</v>
      </c>
      <c r="I558" s="4">
        <v>0.27579999999999999</v>
      </c>
      <c r="J558" s="2">
        <v>4.4038000000000004</v>
      </c>
      <c r="K558" s="1" t="s">
        <v>619</v>
      </c>
      <c r="L558" s="4">
        <v>0.40496632198083699</v>
      </c>
      <c r="M558"/>
      <c r="N558"/>
      <c r="O558"/>
      <c r="P558"/>
      <c r="Q558"/>
    </row>
    <row r="559" spans="1:17" x14ac:dyDescent="0.3">
      <c r="A559" s="1" t="s">
        <v>510</v>
      </c>
      <c r="B559" s="1" t="s">
        <v>81</v>
      </c>
      <c r="C559">
        <v>1996</v>
      </c>
      <c r="D559" s="7">
        <v>4.7451999999999996</v>
      </c>
      <c r="E559" s="7">
        <v>5.085</v>
      </c>
      <c r="F559" s="7">
        <v>6.8289999999999997</v>
      </c>
      <c r="G559" s="7">
        <v>3.6875</v>
      </c>
      <c r="H559" s="7">
        <v>3.8125</v>
      </c>
      <c r="I559" s="4">
        <v>-0.25569999999999998</v>
      </c>
      <c r="J559" s="2">
        <v>4.8535000000000004</v>
      </c>
      <c r="K559" s="1" t="s">
        <v>620</v>
      </c>
      <c r="L559" s="4">
        <v>0.66203742729495096</v>
      </c>
      <c r="M559"/>
      <c r="N559"/>
      <c r="O559"/>
      <c r="P559"/>
      <c r="Q559"/>
    </row>
    <row r="560" spans="1:17" x14ac:dyDescent="0.3">
      <c r="A560" s="1" t="s">
        <v>509</v>
      </c>
      <c r="B560" s="1" t="s">
        <v>81</v>
      </c>
      <c r="C560">
        <v>1997</v>
      </c>
      <c r="D560" s="7">
        <v>3.6793</v>
      </c>
      <c r="E560" s="7">
        <v>3.8925000000000001</v>
      </c>
      <c r="F560" s="7">
        <v>4.4175000000000004</v>
      </c>
      <c r="G560" s="7">
        <v>3.2174999999999998</v>
      </c>
      <c r="H560" s="7">
        <v>3.2574999999999998</v>
      </c>
      <c r="I560" s="4">
        <v>-0.14560000000000001</v>
      </c>
      <c r="J560" s="2">
        <v>3.6962000000000002</v>
      </c>
      <c r="K560" s="1" t="s">
        <v>620</v>
      </c>
      <c r="L560" s="4">
        <v>0.32614899573288397</v>
      </c>
      <c r="M560"/>
      <c r="N560"/>
      <c r="O560"/>
      <c r="P560"/>
      <c r="Q560"/>
    </row>
    <row r="561" spans="1:17" x14ac:dyDescent="0.3">
      <c r="A561" s="1" t="s">
        <v>508</v>
      </c>
      <c r="B561" s="1" t="s">
        <v>81</v>
      </c>
      <c r="C561">
        <v>1998</v>
      </c>
      <c r="D561" s="7">
        <v>2.9394999999999998</v>
      </c>
      <c r="E561" s="7">
        <v>3.3075000000000001</v>
      </c>
      <c r="F561" s="7">
        <v>3.48</v>
      </c>
      <c r="G561" s="7">
        <v>2.4674999999999998</v>
      </c>
      <c r="H561" s="7">
        <v>2.7625000000000002</v>
      </c>
      <c r="I561" s="4">
        <v>-0.152</v>
      </c>
      <c r="J561" s="2">
        <v>3.0044</v>
      </c>
      <c r="K561" s="1" t="s">
        <v>620</v>
      </c>
      <c r="L561" s="4">
        <v>0.34444633441061401</v>
      </c>
      <c r="M561"/>
      <c r="N561"/>
      <c r="O561"/>
      <c r="P561"/>
      <c r="Q561"/>
    </row>
    <row r="562" spans="1:17" x14ac:dyDescent="0.3">
      <c r="A562" s="1" t="s">
        <v>507</v>
      </c>
      <c r="B562" s="1" t="s">
        <v>81</v>
      </c>
      <c r="C562">
        <v>1999</v>
      </c>
      <c r="D562" s="7">
        <v>2.6215000000000002</v>
      </c>
      <c r="E562" s="7">
        <v>2.79</v>
      </c>
      <c r="F562" s="7">
        <v>2.9424999999999999</v>
      </c>
      <c r="G562" s="7">
        <v>2.3774999999999999</v>
      </c>
      <c r="H562" s="7">
        <v>2.4849999999999999</v>
      </c>
      <c r="I562" s="4">
        <v>-0.10050000000000001</v>
      </c>
      <c r="J562" s="2">
        <v>2.6488</v>
      </c>
      <c r="K562" s="1" t="s">
        <v>620</v>
      </c>
      <c r="L562" s="4">
        <v>0.21552546252145699</v>
      </c>
      <c r="M562"/>
      <c r="N562"/>
      <c r="O562"/>
      <c r="P562"/>
      <c r="Q562"/>
    </row>
    <row r="563" spans="1:17" x14ac:dyDescent="0.3">
      <c r="A563" s="1" t="s">
        <v>506</v>
      </c>
      <c r="B563" s="1" t="s">
        <v>81</v>
      </c>
      <c r="C563">
        <v>2000</v>
      </c>
      <c r="D563" s="7">
        <v>2.6053000000000002</v>
      </c>
      <c r="E563" s="7">
        <v>2.4750000000000001</v>
      </c>
      <c r="F563" s="7">
        <v>2.8424999999999998</v>
      </c>
      <c r="G563" s="7">
        <v>2.335</v>
      </c>
      <c r="H563" s="7">
        <v>2.7949999999999999</v>
      </c>
      <c r="I563" s="4">
        <v>0.12470000000000001</v>
      </c>
      <c r="J563" s="2">
        <v>2.6118999999999999</v>
      </c>
      <c r="K563" s="1" t="s">
        <v>619</v>
      </c>
      <c r="L563" s="4">
        <v>0.19479522511802899</v>
      </c>
      <c r="M563"/>
      <c r="N563"/>
      <c r="O563"/>
      <c r="P563"/>
      <c r="Q563"/>
    </row>
    <row r="564" spans="1:17" x14ac:dyDescent="0.3">
      <c r="A564" s="1" t="s">
        <v>505</v>
      </c>
      <c r="B564" s="1" t="s">
        <v>81</v>
      </c>
      <c r="C564">
        <v>2001</v>
      </c>
      <c r="D564" s="7">
        <v>2.7416999999999998</v>
      </c>
      <c r="E564" s="7">
        <v>2.7625000000000002</v>
      </c>
      <c r="F564" s="7">
        <v>2.9550000000000001</v>
      </c>
      <c r="G564" s="7">
        <v>2.4575</v>
      </c>
      <c r="H564" s="7">
        <v>2.89</v>
      </c>
      <c r="I564" s="4">
        <v>3.4000000000000002E-2</v>
      </c>
      <c r="J564" s="2">
        <v>2.7662</v>
      </c>
      <c r="K564" s="1" t="s">
        <v>619</v>
      </c>
      <c r="L564" s="4">
        <v>0.181456760404129</v>
      </c>
      <c r="M564"/>
      <c r="N564"/>
      <c r="O564"/>
      <c r="P564"/>
      <c r="Q564"/>
    </row>
    <row r="565" spans="1:17" x14ac:dyDescent="0.3">
      <c r="A565" s="1" t="s">
        <v>504</v>
      </c>
      <c r="B565" s="1" t="s">
        <v>81</v>
      </c>
      <c r="C565">
        <v>2002</v>
      </c>
      <c r="D565" s="7">
        <v>3.2541000000000002</v>
      </c>
      <c r="E565" s="7">
        <v>2.92</v>
      </c>
      <c r="F565" s="7">
        <v>4.22</v>
      </c>
      <c r="G565" s="7">
        <v>2.6124999999999998</v>
      </c>
      <c r="H565" s="7">
        <v>3.25</v>
      </c>
      <c r="I565" s="4">
        <v>0.1246</v>
      </c>
      <c r="J565" s="2">
        <v>3.2505999999999999</v>
      </c>
      <c r="K565" s="1" t="s">
        <v>619</v>
      </c>
      <c r="L565" s="4">
        <v>0.49399219446237003</v>
      </c>
      <c r="M565"/>
      <c r="N565"/>
      <c r="O565"/>
      <c r="P565"/>
      <c r="Q565"/>
    </row>
    <row r="566" spans="1:17" x14ac:dyDescent="0.3">
      <c r="A566" s="1" t="s">
        <v>503</v>
      </c>
      <c r="B566" s="1" t="s">
        <v>81</v>
      </c>
      <c r="C566">
        <v>2003</v>
      </c>
      <c r="D566" s="7">
        <v>3.3614999999999999</v>
      </c>
      <c r="E566" s="7">
        <v>3.2875000000000001</v>
      </c>
      <c r="F566" s="7">
        <v>4.1475</v>
      </c>
      <c r="G566" s="7">
        <v>2.7925</v>
      </c>
      <c r="H566" s="7">
        <v>3.77</v>
      </c>
      <c r="I566" s="4">
        <v>0.16</v>
      </c>
      <c r="J566" s="2">
        <v>3.4994000000000001</v>
      </c>
      <c r="K566" s="1" t="s">
        <v>619</v>
      </c>
      <c r="L566" s="4">
        <v>0.40309385690911798</v>
      </c>
      <c r="M566"/>
      <c r="N566"/>
      <c r="O566"/>
      <c r="P566"/>
      <c r="Q566"/>
    </row>
    <row r="567" spans="1:17" x14ac:dyDescent="0.3">
      <c r="A567" s="1" t="s">
        <v>502</v>
      </c>
      <c r="B567" s="1" t="s">
        <v>81</v>
      </c>
      <c r="C567">
        <v>2004</v>
      </c>
      <c r="D567" s="7">
        <v>3.4784999999999999</v>
      </c>
      <c r="E567" s="7">
        <v>4.0575000000000001</v>
      </c>
      <c r="F567" s="7">
        <v>4.2275</v>
      </c>
      <c r="G567" s="7">
        <v>2.9510000000000001</v>
      </c>
      <c r="H567" s="7">
        <v>3.0750000000000002</v>
      </c>
      <c r="I567" s="4">
        <v>-0.18440000000000001</v>
      </c>
      <c r="J567" s="2">
        <v>3.5777999999999999</v>
      </c>
      <c r="K567" s="1" t="s">
        <v>620</v>
      </c>
      <c r="L567" s="4">
        <v>0.36696852091418702</v>
      </c>
      <c r="M567"/>
      <c r="N567"/>
      <c r="O567"/>
      <c r="P567"/>
      <c r="Q567"/>
    </row>
    <row r="568" spans="1:17" x14ac:dyDescent="0.3">
      <c r="A568" s="1" t="s">
        <v>501</v>
      </c>
      <c r="B568" s="1" t="s">
        <v>81</v>
      </c>
      <c r="C568">
        <v>2005</v>
      </c>
      <c r="D568" s="7">
        <v>3.2151999999999998</v>
      </c>
      <c r="E568" s="7">
        <v>3.0225</v>
      </c>
      <c r="F568" s="7">
        <v>3.68</v>
      </c>
      <c r="G568" s="7">
        <v>2.8774999999999999</v>
      </c>
      <c r="H568" s="7">
        <v>3.3925000000000001</v>
      </c>
      <c r="I568" s="4">
        <v>0.1033</v>
      </c>
      <c r="J568" s="2">
        <v>3.2431000000000001</v>
      </c>
      <c r="K568" s="1" t="s">
        <v>619</v>
      </c>
      <c r="L568" s="4">
        <v>0.24959567056481699</v>
      </c>
      <c r="M568"/>
      <c r="N568"/>
      <c r="O568"/>
      <c r="P568"/>
      <c r="Q568"/>
    </row>
    <row r="569" spans="1:17" x14ac:dyDescent="0.3">
      <c r="A569" s="1" t="s">
        <v>500</v>
      </c>
      <c r="B569" s="1" t="s">
        <v>81</v>
      </c>
      <c r="C569">
        <v>2006</v>
      </c>
      <c r="D569" s="7">
        <v>4.0606999999999998</v>
      </c>
      <c r="E569" s="7">
        <v>3.46</v>
      </c>
      <c r="F569" s="7">
        <v>5.4249999999999998</v>
      </c>
      <c r="G569" s="7">
        <v>3.2250000000000001</v>
      </c>
      <c r="H569" s="7">
        <v>5.01</v>
      </c>
      <c r="I569" s="4">
        <v>0.4768</v>
      </c>
      <c r="J569" s="2">
        <v>4.28</v>
      </c>
      <c r="K569" s="1" t="s">
        <v>619</v>
      </c>
      <c r="L569" s="4">
        <v>0.54177851109414599</v>
      </c>
      <c r="M569"/>
      <c r="N569"/>
      <c r="O569"/>
      <c r="P569"/>
      <c r="Q569"/>
    </row>
    <row r="570" spans="1:17" x14ac:dyDescent="0.3">
      <c r="A570" s="1" t="s">
        <v>499</v>
      </c>
      <c r="B570" s="1" t="s">
        <v>81</v>
      </c>
      <c r="C570">
        <v>2007</v>
      </c>
      <c r="D570" s="7">
        <v>6.4085999999999999</v>
      </c>
      <c r="E570" s="7">
        <v>5.01</v>
      </c>
      <c r="F570" s="7">
        <v>9.7949999999999999</v>
      </c>
      <c r="G570" s="7">
        <v>4.1900000000000004</v>
      </c>
      <c r="H570" s="7">
        <v>8.85</v>
      </c>
      <c r="I570" s="4">
        <v>0.76649999999999996</v>
      </c>
      <c r="J570" s="2">
        <v>6.9611999999999998</v>
      </c>
      <c r="K570" s="1" t="s">
        <v>619</v>
      </c>
      <c r="L570" s="4">
        <v>0.87460599818993201</v>
      </c>
      <c r="M570"/>
      <c r="N570"/>
      <c r="O570"/>
      <c r="P570"/>
      <c r="Q570"/>
    </row>
    <row r="571" spans="1:17" x14ac:dyDescent="0.3">
      <c r="A571" s="1" t="s">
        <v>498</v>
      </c>
      <c r="B571" s="1" t="s">
        <v>81</v>
      </c>
      <c r="C571">
        <v>2008</v>
      </c>
      <c r="D571" s="7">
        <v>7.9908000000000001</v>
      </c>
      <c r="E571" s="7">
        <v>9.15</v>
      </c>
      <c r="F571" s="7">
        <v>12.824999999999999</v>
      </c>
      <c r="G571" s="7">
        <v>4.7549999999999999</v>
      </c>
      <c r="H571" s="7">
        <v>6.1074999999999999</v>
      </c>
      <c r="I571" s="4">
        <v>-0.30990000000000001</v>
      </c>
      <c r="J571" s="2">
        <v>8.2094000000000005</v>
      </c>
      <c r="K571" s="1" t="s">
        <v>620</v>
      </c>
      <c r="L571" s="4">
        <v>1.00991139810782</v>
      </c>
      <c r="M571"/>
      <c r="N571"/>
      <c r="O571"/>
      <c r="P571"/>
      <c r="Q571"/>
    </row>
    <row r="572" spans="1:17" x14ac:dyDescent="0.3">
      <c r="A572" s="1" t="s">
        <v>497</v>
      </c>
      <c r="B572" s="1" t="s">
        <v>81</v>
      </c>
      <c r="C572">
        <v>2009</v>
      </c>
      <c r="D572" s="7">
        <v>5.3380999999999998</v>
      </c>
      <c r="E572" s="7">
        <v>6.11</v>
      </c>
      <c r="F572" s="7">
        <v>6.7450000000000001</v>
      </c>
      <c r="G572" s="7">
        <v>4.4124999999999996</v>
      </c>
      <c r="H572" s="7">
        <v>5.415</v>
      </c>
      <c r="I572" s="4">
        <v>-0.1134</v>
      </c>
      <c r="J572" s="2">
        <v>5.6706000000000003</v>
      </c>
      <c r="K572" s="1" t="s">
        <v>620</v>
      </c>
      <c r="L572" s="4">
        <v>0.43695322305689299</v>
      </c>
      <c r="M572"/>
      <c r="N572"/>
      <c r="O572"/>
      <c r="P572"/>
      <c r="Q572"/>
    </row>
    <row r="573" spans="1:17" x14ac:dyDescent="0.3">
      <c r="A573" s="1" t="s">
        <v>496</v>
      </c>
      <c r="B573" s="1" t="s">
        <v>81</v>
      </c>
      <c r="C573">
        <v>2010</v>
      </c>
      <c r="D573" s="7">
        <v>5.8712</v>
      </c>
      <c r="E573" s="7">
        <v>5.5774999999999997</v>
      </c>
      <c r="F573" s="7">
        <v>7.9924999999999997</v>
      </c>
      <c r="G573" s="7">
        <v>4.28</v>
      </c>
      <c r="H573" s="7">
        <v>7.9424999999999999</v>
      </c>
      <c r="I573" s="4">
        <v>0.46679999999999999</v>
      </c>
      <c r="J573" s="2">
        <v>6.4481000000000002</v>
      </c>
      <c r="K573" s="1" t="s">
        <v>619</v>
      </c>
      <c r="L573" s="4">
        <v>0.63232388608802303</v>
      </c>
      <c r="M573"/>
      <c r="N573"/>
      <c r="O573"/>
      <c r="P573"/>
      <c r="Q573"/>
    </row>
    <row r="574" spans="1:17" x14ac:dyDescent="0.3">
      <c r="A574" s="1" t="s">
        <v>495</v>
      </c>
      <c r="B574" s="1" t="s">
        <v>81</v>
      </c>
      <c r="C574">
        <v>2011</v>
      </c>
      <c r="D574" s="7">
        <v>7.1443000000000003</v>
      </c>
      <c r="E574" s="7">
        <v>8.0549999999999997</v>
      </c>
      <c r="F574" s="7">
        <v>8.86</v>
      </c>
      <c r="G574" s="7">
        <v>5.774</v>
      </c>
      <c r="H574" s="7">
        <v>6.5274999999999999</v>
      </c>
      <c r="I574" s="4">
        <v>-0.1782</v>
      </c>
      <c r="J574" s="2">
        <v>7.3041</v>
      </c>
      <c r="K574" s="1" t="s">
        <v>620</v>
      </c>
      <c r="L574" s="4">
        <v>0.43195274554539997</v>
      </c>
      <c r="M574"/>
      <c r="N574"/>
      <c r="O574"/>
      <c r="P574"/>
      <c r="Q574"/>
    </row>
    <row r="575" spans="1:17" x14ac:dyDescent="0.3">
      <c r="A575" s="1" t="s">
        <v>494</v>
      </c>
      <c r="B575" s="1" t="s">
        <v>81</v>
      </c>
      <c r="C575">
        <v>2012</v>
      </c>
      <c r="D575" s="7">
        <v>7.5411999999999999</v>
      </c>
      <c r="E575" s="7">
        <v>6.57</v>
      </c>
      <c r="F575" s="7">
        <v>9.4324999999999992</v>
      </c>
      <c r="G575" s="7">
        <v>5.9225000000000003</v>
      </c>
      <c r="H575" s="7">
        <v>7.78</v>
      </c>
      <c r="I575" s="4">
        <v>0.19189999999999999</v>
      </c>
      <c r="J575" s="2">
        <v>7.4261999999999997</v>
      </c>
      <c r="K575" s="1" t="s">
        <v>619</v>
      </c>
      <c r="L575" s="4">
        <v>0.46544316554394499</v>
      </c>
      <c r="M575"/>
      <c r="N575"/>
      <c r="O575"/>
      <c r="P575"/>
      <c r="Q575"/>
    </row>
    <row r="576" spans="1:17" x14ac:dyDescent="0.3">
      <c r="A576" s="1" t="s">
        <v>493</v>
      </c>
      <c r="B576" s="1" t="s">
        <v>81</v>
      </c>
      <c r="C576">
        <v>2013</v>
      </c>
      <c r="D576" s="7">
        <v>6.8608000000000002</v>
      </c>
      <c r="E576" s="7">
        <v>7.5525000000000002</v>
      </c>
      <c r="F576" s="7">
        <v>7.9124999999999996</v>
      </c>
      <c r="G576" s="7">
        <v>6.0049999999999999</v>
      </c>
      <c r="H576" s="7">
        <v>6.0525000000000002</v>
      </c>
      <c r="I576" s="4">
        <v>-0.222</v>
      </c>
      <c r="J576" s="2">
        <v>6.8806000000000003</v>
      </c>
      <c r="K576" s="1" t="s">
        <v>620</v>
      </c>
      <c r="L576" s="4">
        <v>0.27802880130597002</v>
      </c>
      <c r="M576"/>
      <c r="N576"/>
      <c r="O576"/>
      <c r="P576"/>
      <c r="Q576"/>
    </row>
    <row r="577" spans="1:17" x14ac:dyDescent="0.3">
      <c r="A577" s="1" t="s">
        <v>492</v>
      </c>
      <c r="B577" s="1" t="s">
        <v>81</v>
      </c>
      <c r="C577">
        <v>2014</v>
      </c>
      <c r="D577" s="7">
        <v>5.8907999999999996</v>
      </c>
      <c r="E577" s="7">
        <v>5.97</v>
      </c>
      <c r="F577" s="7">
        <v>7.39</v>
      </c>
      <c r="G577" s="7">
        <v>4.74</v>
      </c>
      <c r="H577" s="7">
        <v>5.8949999999999996</v>
      </c>
      <c r="I577" s="4">
        <v>-2.5999999999999999E-2</v>
      </c>
      <c r="J577" s="2">
        <v>5.9988000000000001</v>
      </c>
      <c r="K577" s="1" t="s">
        <v>620</v>
      </c>
      <c r="L577" s="4">
        <v>0.449854009642154</v>
      </c>
      <c r="M577"/>
      <c r="N577"/>
      <c r="O577"/>
      <c r="P577"/>
      <c r="Q577"/>
    </row>
    <row r="578" spans="1:17" x14ac:dyDescent="0.3">
      <c r="A578" s="1" t="s">
        <v>491</v>
      </c>
      <c r="B578" s="1" t="s">
        <v>81</v>
      </c>
      <c r="C578">
        <v>2015</v>
      </c>
      <c r="D578" s="7">
        <v>5.0835999999999997</v>
      </c>
      <c r="E578" s="7">
        <v>5.8150000000000004</v>
      </c>
      <c r="F578" s="7">
        <v>6.1555</v>
      </c>
      <c r="G578" s="7">
        <v>4.6524999999999999</v>
      </c>
      <c r="H578" s="7">
        <v>4.7</v>
      </c>
      <c r="I578" s="4">
        <v>-0.20269999999999999</v>
      </c>
      <c r="J578" s="2">
        <v>5.3308</v>
      </c>
      <c r="K578" s="1" t="s">
        <v>620</v>
      </c>
      <c r="L578" s="4">
        <v>0.29565662129199799</v>
      </c>
      <c r="M578"/>
      <c r="N578"/>
      <c r="O578"/>
      <c r="P578"/>
      <c r="Q578"/>
    </row>
    <row r="579" spans="1:17" x14ac:dyDescent="0.3">
      <c r="A579" s="1" t="s">
        <v>490</v>
      </c>
      <c r="B579" s="1" t="s">
        <v>81</v>
      </c>
      <c r="C579">
        <v>2016</v>
      </c>
      <c r="D579" s="7">
        <v>4.3944999999999999</v>
      </c>
      <c r="E579" s="7">
        <v>4.5824999999999996</v>
      </c>
      <c r="F579" s="7">
        <v>5.1950000000000003</v>
      </c>
      <c r="G579" s="7">
        <v>3.8065000000000002</v>
      </c>
      <c r="H579" s="7">
        <v>4.08</v>
      </c>
      <c r="I579" s="4">
        <v>-0.13189999999999999</v>
      </c>
      <c r="J579" s="2">
        <v>4.4160000000000004</v>
      </c>
      <c r="K579" s="1" t="s">
        <v>620</v>
      </c>
      <c r="L579" s="4">
        <v>0.31596313573785401</v>
      </c>
      <c r="M579"/>
      <c r="N579"/>
      <c r="O579"/>
      <c r="P579"/>
      <c r="Q579"/>
    </row>
    <row r="580" spans="1:17" x14ac:dyDescent="0.3">
      <c r="A580" s="1" t="s">
        <v>489</v>
      </c>
      <c r="B580" s="1" t="s">
        <v>81</v>
      </c>
      <c r="C580">
        <v>2017</v>
      </c>
      <c r="D580" s="7">
        <v>4.4013999999999998</v>
      </c>
      <c r="E580" s="7">
        <v>4.0650000000000004</v>
      </c>
      <c r="F580" s="7">
        <v>5.6</v>
      </c>
      <c r="G580" s="7">
        <v>4.0225</v>
      </c>
      <c r="H580" s="7">
        <v>4.2699999999999996</v>
      </c>
      <c r="I580" s="4">
        <v>4.6600000000000003E-2</v>
      </c>
      <c r="J580" s="2">
        <v>4.4893999999999998</v>
      </c>
      <c r="K580" s="1" t="s">
        <v>619</v>
      </c>
      <c r="L580" s="4">
        <v>0.35840868814468102</v>
      </c>
      <c r="M580"/>
      <c r="N580"/>
      <c r="O580"/>
      <c r="P580"/>
      <c r="Q580"/>
    </row>
    <row r="581" spans="1:17" x14ac:dyDescent="0.3">
      <c r="A581" s="1" t="s">
        <v>488</v>
      </c>
      <c r="B581" s="1" t="s">
        <v>81</v>
      </c>
      <c r="C581">
        <v>2018</v>
      </c>
      <c r="D581" s="7">
        <v>4.9756999999999998</v>
      </c>
      <c r="E581" s="7">
        <v>4.335</v>
      </c>
      <c r="F581" s="7">
        <v>5.7450000000000001</v>
      </c>
      <c r="G581" s="7">
        <v>4.165</v>
      </c>
      <c r="H581" s="7">
        <v>5.0324999999999998</v>
      </c>
      <c r="I581" s="4">
        <v>0.17860000000000001</v>
      </c>
      <c r="J581" s="2">
        <v>4.8193999999999999</v>
      </c>
      <c r="K581" s="1" t="s">
        <v>619</v>
      </c>
      <c r="L581" s="4">
        <v>0.31754326024479002</v>
      </c>
      <c r="M581"/>
      <c r="N581"/>
      <c r="O581"/>
      <c r="P581"/>
      <c r="Q581"/>
    </row>
    <row r="582" spans="1:17" x14ac:dyDescent="0.3">
      <c r="A582" s="1" t="s">
        <v>487</v>
      </c>
      <c r="B582" s="1" t="s">
        <v>81</v>
      </c>
      <c r="C582">
        <v>2019</v>
      </c>
      <c r="D582" s="7">
        <v>4.9413999999999998</v>
      </c>
      <c r="E582" s="7">
        <v>5.0674999999999999</v>
      </c>
      <c r="F582" s="7">
        <v>5.5875000000000004</v>
      </c>
      <c r="G582" s="7">
        <v>4.2474999999999996</v>
      </c>
      <c r="H582" s="7">
        <v>5.5875000000000004</v>
      </c>
      <c r="I582" s="4">
        <v>0.1103</v>
      </c>
      <c r="J582" s="2">
        <v>5.1224999999999996</v>
      </c>
      <c r="K582" s="1" t="s">
        <v>619</v>
      </c>
      <c r="L582" s="4">
        <v>0.27117820860484898</v>
      </c>
      <c r="M582"/>
      <c r="N582"/>
      <c r="O582"/>
      <c r="P582"/>
      <c r="Q582"/>
    </row>
    <row r="583" spans="1:17" x14ac:dyDescent="0.3">
      <c r="A583" s="1" t="s">
        <v>486</v>
      </c>
      <c r="B583" s="1" t="s">
        <v>81</v>
      </c>
      <c r="C583">
        <v>2020</v>
      </c>
      <c r="D583" s="7">
        <v>5.4980000000000002</v>
      </c>
      <c r="E583" s="7">
        <v>5.6025</v>
      </c>
      <c r="F583" s="7">
        <v>6.4074999999999998</v>
      </c>
      <c r="G583" s="7">
        <v>4.7469999999999999</v>
      </c>
      <c r="H583" s="7">
        <v>6.4050000000000002</v>
      </c>
      <c r="I583" s="4">
        <v>0.14630000000000001</v>
      </c>
      <c r="J583" s="2">
        <v>5.7904999999999998</v>
      </c>
      <c r="K583" s="1" t="s">
        <v>619</v>
      </c>
      <c r="L583" s="4">
        <v>0.30201891596944302</v>
      </c>
      <c r="M583"/>
      <c r="N583"/>
      <c r="O583"/>
      <c r="P583"/>
      <c r="Q583"/>
    </row>
    <row r="584" spans="1:17" x14ac:dyDescent="0.3">
      <c r="A584" s="1" t="s">
        <v>485</v>
      </c>
      <c r="B584" s="1" t="s">
        <v>81</v>
      </c>
      <c r="C584">
        <v>2021</v>
      </c>
      <c r="D584" s="7">
        <v>7.0401999999999996</v>
      </c>
      <c r="E584" s="7">
        <v>6.42</v>
      </c>
      <c r="F584" s="7">
        <v>8.56</v>
      </c>
      <c r="G584" s="7">
        <v>6.0175000000000001</v>
      </c>
      <c r="H584" s="7">
        <v>7.7074999999999996</v>
      </c>
      <c r="I584" s="4">
        <v>0.2034</v>
      </c>
      <c r="J584" s="2">
        <v>7.1761999999999997</v>
      </c>
      <c r="K584" s="1" t="s">
        <v>619</v>
      </c>
      <c r="L584" s="4">
        <v>0.361140308513963</v>
      </c>
      <c r="M584"/>
      <c r="N584"/>
      <c r="O584"/>
      <c r="P584"/>
      <c r="Q584"/>
    </row>
    <row r="585" spans="1:17" x14ac:dyDescent="0.3">
      <c r="A585" s="1" t="s">
        <v>484</v>
      </c>
      <c r="B585" s="1" t="s">
        <v>81</v>
      </c>
      <c r="C585">
        <v>2022</v>
      </c>
      <c r="D585" s="7">
        <v>9.5238999999999994</v>
      </c>
      <c r="E585" s="7">
        <v>7.58</v>
      </c>
      <c r="F585" s="7">
        <v>12.94</v>
      </c>
      <c r="G585" s="7">
        <v>7.415</v>
      </c>
      <c r="H585" s="7">
        <v>8.9571000000000005</v>
      </c>
      <c r="I585" s="4">
        <v>0.16209999999999999</v>
      </c>
      <c r="J585" s="2">
        <v>9.2230000000000008</v>
      </c>
      <c r="K585" s="1" t="s">
        <v>619</v>
      </c>
      <c r="L585" s="4">
        <v>0.58011948886485598</v>
      </c>
      <c r="M585"/>
      <c r="N585"/>
      <c r="O585"/>
      <c r="P585"/>
      <c r="Q585"/>
    </row>
    <row r="586" spans="1:17" x14ac:dyDescent="0.3">
      <c r="A586" s="1" t="s">
        <v>483</v>
      </c>
      <c r="B586" s="1" t="s">
        <v>81</v>
      </c>
      <c r="C586">
        <v>2023</v>
      </c>
      <c r="D586" s="7">
        <v>7.2275</v>
      </c>
      <c r="E586" s="7">
        <v>8.9471000000000007</v>
      </c>
      <c r="F586" s="7">
        <v>8.9471000000000007</v>
      </c>
      <c r="G586" s="7">
        <v>5.9762000000000004</v>
      </c>
      <c r="H586" s="7">
        <v>6.6909000000000001</v>
      </c>
      <c r="I586" s="4">
        <v>-0.253</v>
      </c>
      <c r="J586" s="2">
        <v>7.6402999999999999</v>
      </c>
      <c r="K586" s="1" t="s">
        <v>620</v>
      </c>
      <c r="L586" s="4">
        <v>0.41105499827049502</v>
      </c>
      <c r="M586" s="7"/>
      <c r="O586"/>
      <c r="P586"/>
      <c r="Q586"/>
    </row>
    <row r="587" spans="1:17" x14ac:dyDescent="0.3">
      <c r="A587" s="1" t="s">
        <v>482</v>
      </c>
      <c r="B587" s="1" t="s">
        <v>81</v>
      </c>
      <c r="C587">
        <v>2024</v>
      </c>
      <c r="D587" s="7">
        <v>6.3400999999999996</v>
      </c>
      <c r="E587" s="7">
        <v>6.6951999999999998</v>
      </c>
      <c r="F587" s="7">
        <v>7.9490999999999996</v>
      </c>
      <c r="G587" s="7">
        <v>5.3312999999999997</v>
      </c>
      <c r="H587" s="7">
        <v>7.1657999999999999</v>
      </c>
      <c r="I587" s="4">
        <v>7.0999999999999994E-2</v>
      </c>
      <c r="J587" s="2">
        <v>6.7854000000000001</v>
      </c>
      <c r="K587" s="1" t="s">
        <v>619</v>
      </c>
      <c r="L587" s="4">
        <v>0.41289569565148798</v>
      </c>
      <c r="M587" s="7"/>
      <c r="O587"/>
      <c r="P587"/>
      <c r="Q587"/>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FB75-935E-4F3D-AD9F-B73F276B113C}">
  <dimension ref="D1:M66"/>
  <sheetViews>
    <sheetView workbookViewId="0"/>
  </sheetViews>
  <sheetFormatPr defaultColWidth="7.109375" defaultRowHeight="14.4" x14ac:dyDescent="0.3"/>
  <cols>
    <col min="1" max="1" width="4.88671875" bestFit="1" customWidth="1"/>
    <col min="2" max="2" width="13.109375" bestFit="1" customWidth="1"/>
    <col min="3" max="3" width="6.88671875"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2" bestFit="1" customWidth="1"/>
    <col min="9" max="9" width="16.6640625" style="2" customWidth="1"/>
    <col min="10" max="10" width="15.77734375" style="2" bestFit="1" customWidth="1"/>
    <col min="11" max="11" width="19.77734375" style="3" bestFit="1" customWidth="1"/>
    <col min="12" max="12" width="14.88671875" style="2" bestFit="1" customWidth="1"/>
    <col min="13" max="13" width="16.6640625" style="3" bestFit="1"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0803-891D-491C-AB2B-2063755FF8BE}">
  <dimension ref="C1:I66"/>
  <sheetViews>
    <sheetView workbookViewId="0">
      <selection activeCell="F10" sqref="F10"/>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D28E-9524-4F94-B68F-6F93FEC65ADC}">
  <dimension ref="C1:I66"/>
  <sheetViews>
    <sheetView workbookViewId="0">
      <selection activeCell="F24" sqref="F24"/>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8E9F-0583-4670-A148-41F8EBDE95F5}">
  <dimension ref="C1:I63"/>
  <sheetViews>
    <sheetView workbookViewId="0">
      <selection activeCell="H20" sqref="H20"/>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9AC5-93C9-44A2-B5B4-7D85E9987765}">
  <dimension ref="C1:I63"/>
  <sheetViews>
    <sheetView workbookViewId="0">
      <selection activeCell="H1" sqref="H1:H1048576"/>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692F-9918-4EF0-92EB-2C2360A086DE}">
  <dimension ref="C1:I57"/>
  <sheetViews>
    <sheetView workbookViewId="0">
      <selection activeCell="H7" sqref="H7"/>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0B271-82D2-4324-9F57-E19F66BC5EA3}">
  <dimension ref="C1:I55"/>
  <sheetViews>
    <sheetView workbookViewId="0">
      <selection activeCell="H27" sqref="H27"/>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4885A-7FAF-4995-A2E3-4CF50B3CCF07}">
  <dimension ref="C1:I53"/>
  <sheetViews>
    <sheetView topLeftCell="A2" workbookViewId="0">
      <selection activeCell="F29" sqref="F29"/>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2" bestFit="1" customWidth="1"/>
    <col min="9" max="9" width="16.6640625" style="2"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0393-0F01-4A43-BE88-D7693C15864B}">
  <dimension ref="C1:I53"/>
  <sheetViews>
    <sheetView workbookViewId="0">
      <selection activeCell="G17" sqref="G17"/>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7560F-87EC-4726-B0E5-778E5915BF5F}">
  <dimension ref="C1:I52"/>
  <sheetViews>
    <sheetView workbookViewId="0">
      <selection activeCell="G2" sqref="G2"/>
    </sheetView>
  </sheetViews>
  <sheetFormatPr defaultRowHeight="14.4" x14ac:dyDescent="0.3"/>
  <cols>
    <col min="1" max="1" width="4.88671875" bestFit="1" customWidth="1"/>
    <col min="2" max="2" width="13.109375" bestFit="1" customWidth="1"/>
    <col min="3" max="3" width="6.88671875" style="2" bestFit="1" customWidth="1"/>
    <col min="4" max="4" width="22.44140625" style="2" bestFit="1" customWidth="1"/>
    <col min="5" max="5" width="12.44140625" style="2" bestFit="1" customWidth="1"/>
    <col min="6" max="6" width="11.6640625" style="2" bestFit="1" customWidth="1"/>
    <col min="7" max="7" width="11.33203125" style="2" bestFit="1" customWidth="1"/>
    <col min="8" max="8" width="12.33203125" style="3" bestFit="1" customWidth="1"/>
    <col min="9" max="9" width="16.6640625" style="3"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C4A0-99CC-42ED-ADED-63863678FBFB}">
  <dimension ref="A1:B66"/>
  <sheetViews>
    <sheetView workbookViewId="0">
      <selection activeCell="A2" sqref="A2:A66"/>
    </sheetView>
  </sheetViews>
  <sheetFormatPr defaultRowHeight="14.4" x14ac:dyDescent="0.3"/>
  <cols>
    <col min="1" max="1" width="6.88671875" customWidth="1"/>
    <col min="2" max="2" width="4.88671875" bestFit="1" customWidth="1"/>
  </cols>
  <sheetData>
    <row r="1" spans="1:2" x14ac:dyDescent="0.3">
      <c r="A1" t="s">
        <v>1</v>
      </c>
      <c r="B1" t="s">
        <v>0</v>
      </c>
    </row>
    <row r="2" spans="1:2" x14ac:dyDescent="0.3">
      <c r="A2">
        <v>1960</v>
      </c>
      <c r="B2">
        <v>1</v>
      </c>
    </row>
    <row r="3" spans="1:2" x14ac:dyDescent="0.3">
      <c r="A3">
        <v>1961</v>
      </c>
      <c r="B3">
        <v>2</v>
      </c>
    </row>
    <row r="4" spans="1:2" x14ac:dyDescent="0.3">
      <c r="A4">
        <v>1962</v>
      </c>
      <c r="B4">
        <v>3</v>
      </c>
    </row>
    <row r="5" spans="1:2" x14ac:dyDescent="0.3">
      <c r="A5">
        <v>1963</v>
      </c>
      <c r="B5">
        <v>4</v>
      </c>
    </row>
    <row r="6" spans="1:2" x14ac:dyDescent="0.3">
      <c r="A6">
        <v>1964</v>
      </c>
      <c r="B6">
        <v>5</v>
      </c>
    </row>
    <row r="7" spans="1:2" x14ac:dyDescent="0.3">
      <c r="A7">
        <v>1965</v>
      </c>
      <c r="B7">
        <v>6</v>
      </c>
    </row>
    <row r="8" spans="1:2" x14ac:dyDescent="0.3">
      <c r="A8">
        <v>1966</v>
      </c>
      <c r="B8">
        <v>7</v>
      </c>
    </row>
    <row r="9" spans="1:2" x14ac:dyDescent="0.3">
      <c r="A9">
        <v>1967</v>
      </c>
      <c r="B9">
        <v>8</v>
      </c>
    </row>
    <row r="10" spans="1:2" x14ac:dyDescent="0.3">
      <c r="A10">
        <v>1968</v>
      </c>
      <c r="B10">
        <v>9</v>
      </c>
    </row>
    <row r="11" spans="1:2" x14ac:dyDescent="0.3">
      <c r="A11">
        <v>1969</v>
      </c>
      <c r="B11">
        <v>10</v>
      </c>
    </row>
    <row r="12" spans="1:2" x14ac:dyDescent="0.3">
      <c r="A12">
        <v>1970</v>
      </c>
      <c r="B12">
        <v>11</v>
      </c>
    </row>
    <row r="13" spans="1:2" x14ac:dyDescent="0.3">
      <c r="A13">
        <v>1971</v>
      </c>
      <c r="B13">
        <v>12</v>
      </c>
    </row>
    <row r="14" spans="1:2" x14ac:dyDescent="0.3">
      <c r="A14">
        <v>1972</v>
      </c>
      <c r="B14">
        <v>13</v>
      </c>
    </row>
    <row r="15" spans="1:2" x14ac:dyDescent="0.3">
      <c r="A15">
        <v>1973</v>
      </c>
      <c r="B15">
        <v>14</v>
      </c>
    </row>
    <row r="16" spans="1:2" x14ac:dyDescent="0.3">
      <c r="A16">
        <v>1974</v>
      </c>
      <c r="B16">
        <v>15</v>
      </c>
    </row>
    <row r="17" spans="1:2" x14ac:dyDescent="0.3">
      <c r="A17">
        <v>1975</v>
      </c>
      <c r="B17">
        <v>16</v>
      </c>
    </row>
    <row r="18" spans="1:2" x14ac:dyDescent="0.3">
      <c r="A18">
        <v>1976</v>
      </c>
      <c r="B18">
        <v>17</v>
      </c>
    </row>
    <row r="19" spans="1:2" x14ac:dyDescent="0.3">
      <c r="A19">
        <v>1977</v>
      </c>
      <c r="B19">
        <v>18</v>
      </c>
    </row>
    <row r="20" spans="1:2" x14ac:dyDescent="0.3">
      <c r="A20">
        <v>1978</v>
      </c>
      <c r="B20">
        <v>19</v>
      </c>
    </row>
    <row r="21" spans="1:2" x14ac:dyDescent="0.3">
      <c r="A21">
        <v>1979</v>
      </c>
      <c r="B21">
        <v>20</v>
      </c>
    </row>
    <row r="22" spans="1:2" x14ac:dyDescent="0.3">
      <c r="A22">
        <v>1980</v>
      </c>
      <c r="B22">
        <v>21</v>
      </c>
    </row>
    <row r="23" spans="1:2" x14ac:dyDescent="0.3">
      <c r="A23">
        <v>1981</v>
      </c>
      <c r="B23">
        <v>22</v>
      </c>
    </row>
    <row r="24" spans="1:2" x14ac:dyDescent="0.3">
      <c r="A24">
        <v>1982</v>
      </c>
      <c r="B24">
        <v>23</v>
      </c>
    </row>
    <row r="25" spans="1:2" x14ac:dyDescent="0.3">
      <c r="A25">
        <v>1983</v>
      </c>
      <c r="B25">
        <v>24</v>
      </c>
    </row>
    <row r="26" spans="1:2" x14ac:dyDescent="0.3">
      <c r="A26">
        <v>1984</v>
      </c>
      <c r="B26">
        <v>25</v>
      </c>
    </row>
    <row r="27" spans="1:2" x14ac:dyDescent="0.3">
      <c r="A27">
        <v>1985</v>
      </c>
      <c r="B27">
        <v>26</v>
      </c>
    </row>
    <row r="28" spans="1:2" x14ac:dyDescent="0.3">
      <c r="A28">
        <v>1986</v>
      </c>
      <c r="B28">
        <v>27</v>
      </c>
    </row>
    <row r="29" spans="1:2" x14ac:dyDescent="0.3">
      <c r="A29">
        <v>1987</v>
      </c>
      <c r="B29">
        <v>28</v>
      </c>
    </row>
    <row r="30" spans="1:2" x14ac:dyDescent="0.3">
      <c r="A30">
        <v>1988</v>
      </c>
      <c r="B30">
        <v>29</v>
      </c>
    </row>
    <row r="31" spans="1:2" x14ac:dyDescent="0.3">
      <c r="A31">
        <v>1989</v>
      </c>
      <c r="B31">
        <v>30</v>
      </c>
    </row>
    <row r="32" spans="1:2" x14ac:dyDescent="0.3">
      <c r="A32">
        <v>1990</v>
      </c>
      <c r="B32">
        <v>31</v>
      </c>
    </row>
    <row r="33" spans="1:2" x14ac:dyDescent="0.3">
      <c r="A33">
        <v>1991</v>
      </c>
      <c r="B33">
        <v>32</v>
      </c>
    </row>
    <row r="34" spans="1:2" x14ac:dyDescent="0.3">
      <c r="A34">
        <v>1992</v>
      </c>
      <c r="B34">
        <v>33</v>
      </c>
    </row>
    <row r="35" spans="1:2" x14ac:dyDescent="0.3">
      <c r="A35">
        <v>1993</v>
      </c>
      <c r="B35">
        <v>34</v>
      </c>
    </row>
    <row r="36" spans="1:2" x14ac:dyDescent="0.3">
      <c r="A36">
        <v>1994</v>
      </c>
      <c r="B36">
        <v>35</v>
      </c>
    </row>
    <row r="37" spans="1:2" x14ac:dyDescent="0.3">
      <c r="A37">
        <v>1995</v>
      </c>
      <c r="B37">
        <v>36</v>
      </c>
    </row>
    <row r="38" spans="1:2" x14ac:dyDescent="0.3">
      <c r="A38">
        <v>1996</v>
      </c>
      <c r="B38">
        <v>37</v>
      </c>
    </row>
    <row r="39" spans="1:2" x14ac:dyDescent="0.3">
      <c r="A39">
        <v>1997</v>
      </c>
      <c r="B39">
        <v>38</v>
      </c>
    </row>
    <row r="40" spans="1:2" x14ac:dyDescent="0.3">
      <c r="A40">
        <v>1998</v>
      </c>
      <c r="B40">
        <v>39</v>
      </c>
    </row>
    <row r="41" spans="1:2" x14ac:dyDescent="0.3">
      <c r="A41">
        <v>1999</v>
      </c>
      <c r="B41">
        <v>40</v>
      </c>
    </row>
    <row r="42" spans="1:2" x14ac:dyDescent="0.3">
      <c r="A42">
        <v>2000</v>
      </c>
      <c r="B42">
        <v>41</v>
      </c>
    </row>
    <row r="43" spans="1:2" x14ac:dyDescent="0.3">
      <c r="A43">
        <v>2001</v>
      </c>
      <c r="B43">
        <v>42</v>
      </c>
    </row>
    <row r="44" spans="1:2" x14ac:dyDescent="0.3">
      <c r="A44">
        <v>2002</v>
      </c>
      <c r="B44">
        <v>43</v>
      </c>
    </row>
    <row r="45" spans="1:2" x14ac:dyDescent="0.3">
      <c r="A45">
        <v>2003</v>
      </c>
      <c r="B45">
        <v>44</v>
      </c>
    </row>
    <row r="46" spans="1:2" x14ac:dyDescent="0.3">
      <c r="A46">
        <v>2004</v>
      </c>
      <c r="B46">
        <v>45</v>
      </c>
    </row>
    <row r="47" spans="1:2" x14ac:dyDescent="0.3">
      <c r="A47">
        <v>2005</v>
      </c>
      <c r="B47">
        <v>46</v>
      </c>
    </row>
    <row r="48" spans="1:2" x14ac:dyDescent="0.3">
      <c r="A48">
        <v>2006</v>
      </c>
      <c r="B48">
        <v>47</v>
      </c>
    </row>
    <row r="49" spans="1:2" x14ac:dyDescent="0.3">
      <c r="A49">
        <v>2007</v>
      </c>
      <c r="B49">
        <v>48</v>
      </c>
    </row>
    <row r="50" spans="1:2" x14ac:dyDescent="0.3">
      <c r="A50">
        <v>2008</v>
      </c>
      <c r="B50">
        <v>49</v>
      </c>
    </row>
    <row r="51" spans="1:2" x14ac:dyDescent="0.3">
      <c r="A51">
        <v>2009</v>
      </c>
      <c r="B51">
        <v>50</v>
      </c>
    </row>
    <row r="52" spans="1:2" x14ac:dyDescent="0.3">
      <c r="A52">
        <v>2010</v>
      </c>
      <c r="B52">
        <v>51</v>
      </c>
    </row>
    <row r="53" spans="1:2" x14ac:dyDescent="0.3">
      <c r="A53">
        <v>2011</v>
      </c>
      <c r="B53">
        <v>52</v>
      </c>
    </row>
    <row r="54" spans="1:2" x14ac:dyDescent="0.3">
      <c r="A54">
        <v>2012</v>
      </c>
      <c r="B54">
        <v>53</v>
      </c>
    </row>
    <row r="55" spans="1:2" x14ac:dyDescent="0.3">
      <c r="A55">
        <v>2013</v>
      </c>
      <c r="B55">
        <v>54</v>
      </c>
    </row>
    <row r="56" spans="1:2" x14ac:dyDescent="0.3">
      <c r="A56">
        <v>2014</v>
      </c>
      <c r="B56">
        <v>55</v>
      </c>
    </row>
    <row r="57" spans="1:2" x14ac:dyDescent="0.3">
      <c r="A57">
        <v>2015</v>
      </c>
      <c r="B57">
        <v>56</v>
      </c>
    </row>
    <row r="58" spans="1:2" x14ac:dyDescent="0.3">
      <c r="A58">
        <v>2016</v>
      </c>
      <c r="B58">
        <v>57</v>
      </c>
    </row>
    <row r="59" spans="1:2" x14ac:dyDescent="0.3">
      <c r="A59">
        <v>2017</v>
      </c>
      <c r="B59">
        <v>58</v>
      </c>
    </row>
    <row r="60" spans="1:2" x14ac:dyDescent="0.3">
      <c r="A60">
        <v>2018</v>
      </c>
      <c r="B60">
        <v>59</v>
      </c>
    </row>
    <row r="61" spans="1:2" x14ac:dyDescent="0.3">
      <c r="A61">
        <v>2019</v>
      </c>
      <c r="B61">
        <v>60</v>
      </c>
    </row>
    <row r="62" spans="1:2" x14ac:dyDescent="0.3">
      <c r="A62">
        <v>2020</v>
      </c>
      <c r="B62">
        <v>61</v>
      </c>
    </row>
    <row r="63" spans="1:2" x14ac:dyDescent="0.3">
      <c r="A63">
        <v>2021</v>
      </c>
      <c r="B63">
        <v>62</v>
      </c>
    </row>
    <row r="64" spans="1:2" x14ac:dyDescent="0.3">
      <c r="A64">
        <v>2022</v>
      </c>
      <c r="B64">
        <v>63</v>
      </c>
    </row>
    <row r="65" spans="1:2" x14ac:dyDescent="0.3">
      <c r="A65">
        <v>2023</v>
      </c>
      <c r="B65">
        <v>64</v>
      </c>
    </row>
    <row r="66" spans="1:2" x14ac:dyDescent="0.3">
      <c r="A66">
        <v>2024</v>
      </c>
      <c r="B66">
        <v>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Props1.xml><?xml version="1.0" encoding="utf-8"?>
<ds:datastoreItem xmlns:ds="http://schemas.openxmlformats.org/officeDocument/2006/customXml" ds:itemID="{BDE32E30-A79A-48F1-8804-044D1EE0D6F3}">
  <ds:schemaRefs/>
</ds:datastoreItem>
</file>

<file path=customXml/itemProps2.xml><?xml version="1.0" encoding="utf-8"?>
<ds:datastoreItem xmlns:ds="http://schemas.openxmlformats.org/officeDocument/2006/customXml" ds:itemID="{7A3730E3-2F35-4E37-AC17-21923936D6BA}">
  <ds:schemaRefs/>
</ds:datastoreItem>
</file>

<file path=customXml/itemProps3.xml><?xml version="1.0" encoding="utf-8"?>
<ds:datastoreItem xmlns:ds="http://schemas.openxmlformats.org/officeDocument/2006/customXml" ds:itemID="{FDB906FB-05ED-4E30-8F21-080FD48AEAA7}">
  <ds:schemaRefs/>
</ds:datastoreItem>
</file>

<file path=customXml/itemProps4.xml><?xml version="1.0" encoding="utf-8"?>
<ds:datastoreItem xmlns:ds="http://schemas.openxmlformats.org/officeDocument/2006/customXml" ds:itemID="{B7B923AC-A5EE-4193-B45A-55E3D239D693}">
  <ds:schemaRefs/>
</ds:datastoreItem>
</file>

<file path=customXml/itemProps5.xml><?xml version="1.0" encoding="utf-8"?>
<ds:datastoreItem xmlns:ds="http://schemas.openxmlformats.org/officeDocument/2006/customXml" ds:itemID="{30846319-F999-49CB-9A60-AA90CDB2EDFB}">
  <ds:schemaRefs/>
</ds:datastoreItem>
</file>

<file path=customXml/itemProps6.xml><?xml version="1.0" encoding="utf-8"?>
<ds:datastoreItem xmlns:ds="http://schemas.openxmlformats.org/officeDocument/2006/customXml" ds:itemID="{2316230A-F621-45BC-A00B-5C4380486F58}">
  <ds:schemaRefs/>
</ds:datastoreItem>
</file>

<file path=customXml/itemProps7.xml><?xml version="1.0" encoding="utf-8"?>
<ds:datastoreItem xmlns:ds="http://schemas.openxmlformats.org/officeDocument/2006/customXml" ds:itemID="{5EACB991-962B-4EA0-B422-35C5E744C1E2}">
  <ds:schemaRefs/>
</ds:datastoreItem>
</file>

<file path=customXml/itemProps8.xml><?xml version="1.0" encoding="utf-8"?>
<ds:datastoreItem xmlns:ds="http://schemas.openxmlformats.org/officeDocument/2006/customXml" ds:itemID="{37426306-C3F1-411F-B116-CF4A95D8451F}">
  <ds:schemaRefs/>
</ds:datastoreItem>
</file>

<file path=customXml/itemProps9.xml><?xml version="1.0" encoding="utf-8"?>
<ds:datastoreItem xmlns:ds="http://schemas.openxmlformats.org/officeDocument/2006/customXml" ds:itemID="{68CC7C2C-265F-453A-9EF6-418DE52F1322}">
  <ds:schemaRefs/>
</ds:datastoreItem>
</file>

<file path=customXml/itemProps10.xml><?xml version="1.0" encoding="utf-8"?>
<ds:datastoreItem xmlns:ds="http://schemas.openxmlformats.org/officeDocument/2006/customXml" ds:itemID="{8FD5DDC9-9A14-4D19-8870-0C7ABF23E348}">
  <ds:schemaRefs/>
</ds:datastoreItem>
</file>

<file path=customXml/itemProps11.xml><?xml version="1.0" encoding="utf-8"?>
<ds:datastoreItem xmlns:ds="http://schemas.openxmlformats.org/officeDocument/2006/customXml" ds:itemID="{4D3CAF5E-64EE-4AF7-A6A7-4AAF5B543162}">
  <ds:schemaRefs/>
</ds:datastoreItem>
</file>

<file path=customXml/itemProps12.xml><?xml version="1.0" encoding="utf-8"?>
<ds:datastoreItem xmlns:ds="http://schemas.openxmlformats.org/officeDocument/2006/customXml" ds:itemID="{41DB6C1B-1C70-4F0C-9C07-F95EFB5BC56B}">
  <ds:schemaRefs/>
</ds:datastoreItem>
</file>

<file path=customXml/itemProps13.xml><?xml version="1.0" encoding="utf-8"?>
<ds:datastoreItem xmlns:ds="http://schemas.openxmlformats.org/officeDocument/2006/customXml" ds:itemID="{F66D4E31-DAED-430E-8274-1DAD6CEAC2A5}">
  <ds:schemaRefs/>
</ds:datastoreItem>
</file>

<file path=customXml/itemProps14.xml><?xml version="1.0" encoding="utf-8"?>
<ds:datastoreItem xmlns:ds="http://schemas.openxmlformats.org/officeDocument/2006/customXml" ds:itemID="{EA11EB23-E26E-4B60-8D5D-573C66BBEC66}">
  <ds:schemaRefs/>
</ds:datastoreItem>
</file>

<file path=customXml/itemProps15.xml><?xml version="1.0" encoding="utf-8"?>
<ds:datastoreItem xmlns:ds="http://schemas.openxmlformats.org/officeDocument/2006/customXml" ds:itemID="{11CA8C97-CD78-474A-AD7A-EAC13752B76A}">
  <ds:schemaRefs/>
</ds:datastoreItem>
</file>

<file path=customXml/itemProps16.xml><?xml version="1.0" encoding="utf-8"?>
<ds:datastoreItem xmlns:ds="http://schemas.openxmlformats.org/officeDocument/2006/customXml" ds:itemID="{67E94EE0-CBC2-466C-8CDE-A0187011CBBB}">
  <ds:schemaRefs/>
</ds:datastoreItem>
</file>

<file path=customXml/itemProps17.xml><?xml version="1.0" encoding="utf-8"?>
<ds:datastoreItem xmlns:ds="http://schemas.openxmlformats.org/officeDocument/2006/customXml" ds:itemID="{6BE9E306-ACFE-4E98-9E7A-D1FAB4ACC5D3}">
  <ds:schemaRefs/>
</ds:datastoreItem>
</file>

<file path=customXml/itemProps18.xml><?xml version="1.0" encoding="utf-8"?>
<ds:datastoreItem xmlns:ds="http://schemas.openxmlformats.org/officeDocument/2006/customXml" ds:itemID="{17021201-96B6-40EC-BD78-02D5C6650BCC}">
  <ds:schemaRefs/>
</ds:datastoreItem>
</file>

<file path=customXml/itemProps19.xml><?xml version="1.0" encoding="utf-8"?>
<ds:datastoreItem xmlns:ds="http://schemas.openxmlformats.org/officeDocument/2006/customXml" ds:itemID="{9EBF1896-249A-4A03-8EC4-DCA4C89B749A}">
  <ds:schemaRefs/>
</ds:datastoreItem>
</file>

<file path=customXml/itemProps20.xml><?xml version="1.0" encoding="utf-8"?>
<ds:datastoreItem xmlns:ds="http://schemas.openxmlformats.org/officeDocument/2006/customXml" ds:itemID="{6D81E03D-48ED-43E0-95B4-DEE8914F9ADB}">
  <ds:schemaRefs/>
</ds:datastoreItem>
</file>

<file path=customXml/itemProps21.xml><?xml version="1.0" encoding="utf-8"?>
<ds:datastoreItem xmlns:ds="http://schemas.openxmlformats.org/officeDocument/2006/customXml" ds:itemID="{DEE2ED0F-D045-414D-B1B4-8F93953A6829}">
  <ds:schemaRefs/>
</ds:datastoreItem>
</file>

<file path=customXml/itemProps22.xml><?xml version="1.0" encoding="utf-8"?>
<ds:datastoreItem xmlns:ds="http://schemas.openxmlformats.org/officeDocument/2006/customXml" ds:itemID="{25622776-229E-4F1C-8581-82436F58CC2F}">
  <ds:schemaRefs/>
</ds:datastoreItem>
</file>

<file path=customXml/itemProps23.xml><?xml version="1.0" encoding="utf-8"?>
<ds:datastoreItem xmlns:ds="http://schemas.openxmlformats.org/officeDocument/2006/customXml" ds:itemID="{E1D27198-B439-47E6-8AC5-D9F50513858A}">
  <ds:schemaRefs/>
</ds:datastoreItem>
</file>

<file path=customXml/itemProps24.xml><?xml version="1.0" encoding="utf-8"?>
<ds:datastoreItem xmlns:ds="http://schemas.openxmlformats.org/officeDocument/2006/customXml" ds:itemID="{E705C5B3-73E0-4F3D-B15E-ECBFCA79314A}">
  <ds:schemaRefs/>
</ds:datastoreItem>
</file>

<file path=customXml/itemProps25.xml><?xml version="1.0" encoding="utf-8"?>
<ds:datastoreItem xmlns:ds="http://schemas.openxmlformats.org/officeDocument/2006/customXml" ds:itemID="{99CEE41A-AC6D-43A0-A57A-7936464A7C64}">
  <ds:schemaRefs/>
</ds:datastoreItem>
</file>

<file path=customXml/itemProps26.xml><?xml version="1.0" encoding="utf-8"?>
<ds:datastoreItem xmlns:ds="http://schemas.openxmlformats.org/officeDocument/2006/customXml" ds:itemID="{2FF9421D-1FC6-4100-9D16-796F711B5C75}">
  <ds:schemaRefs/>
</ds:datastoreItem>
</file>

<file path=customXml/itemProps27.xml><?xml version="1.0" encoding="utf-8"?>
<ds:datastoreItem xmlns:ds="http://schemas.openxmlformats.org/officeDocument/2006/customXml" ds:itemID="{E3DEDB71-9A8E-425F-8937-3F652003A5CE}">
  <ds:schemaRefs/>
</ds:datastoreItem>
</file>

<file path=customXml/itemProps28.xml><?xml version="1.0" encoding="utf-8"?>
<ds:datastoreItem xmlns:ds="http://schemas.openxmlformats.org/officeDocument/2006/customXml" ds:itemID="{7572A1B8-3D5B-4D25-85A6-84EF8EC1E7D3}">
  <ds:schemaRefs/>
</ds:datastoreItem>
</file>

<file path=customXml/itemProps29.xml><?xml version="1.0" encoding="utf-8"?>
<ds:datastoreItem xmlns:ds="http://schemas.openxmlformats.org/officeDocument/2006/customXml" ds:itemID="{1A79A98A-AC59-4706-ABAD-07600A1280E3}">
  <ds:schemaRefs/>
</ds:datastoreItem>
</file>

<file path=customXml/itemProps30.xml><?xml version="1.0" encoding="utf-8"?>
<ds:datastoreItem xmlns:ds="http://schemas.openxmlformats.org/officeDocument/2006/customXml" ds:itemID="{061B3F9A-F9D2-4E2B-894A-917D18BE14A1}">
  <ds:schemaRefs/>
</ds:datastoreItem>
</file>

<file path=customXml/itemProps31.xml><?xml version="1.0" encoding="utf-8"?>
<ds:datastoreItem xmlns:ds="http://schemas.openxmlformats.org/officeDocument/2006/customXml" ds:itemID="{08BC74CD-DBD4-4D79-A140-AB6CDC0D234E}">
  <ds:schemaRefs/>
</ds:datastoreItem>
</file>

<file path=customXml/itemProps32.xml><?xml version="1.0" encoding="utf-8"?>
<ds:datastoreItem xmlns:ds="http://schemas.openxmlformats.org/officeDocument/2006/customXml" ds:itemID="{BC28A2FF-448A-4D94-ADF2-C44FA9251667}">
  <ds:schemaRefs/>
</ds:datastoreItem>
</file>

<file path=customXml/itemProps33.xml><?xml version="1.0" encoding="utf-8"?>
<ds:datastoreItem xmlns:ds="http://schemas.openxmlformats.org/officeDocument/2006/customXml" ds:itemID="{B423A4FC-8713-40D3-BFD5-BF490861D2C0}">
  <ds:schemaRefs/>
</ds:datastoreItem>
</file>

<file path=customXml/itemProps34.xml><?xml version="1.0" encoding="utf-8"?>
<ds:datastoreItem xmlns:ds="http://schemas.openxmlformats.org/officeDocument/2006/customXml" ds:itemID="{6FEC4195-4C49-4D62-9C08-D23D8E4ABA69}">
  <ds:schemaRefs/>
</ds:datastoreItem>
</file>

<file path=customXml/itemProps35.xml><?xml version="1.0" encoding="utf-8"?>
<ds:datastoreItem xmlns:ds="http://schemas.openxmlformats.org/officeDocument/2006/customXml" ds:itemID="{8AE5A1BE-BC7E-44E6-8A0D-FAEF052D1B51}">
  <ds:schemaRefs/>
</ds:datastoreItem>
</file>

<file path=customXml/itemProps36.xml><?xml version="1.0" encoding="utf-8"?>
<ds:datastoreItem xmlns:ds="http://schemas.openxmlformats.org/officeDocument/2006/customXml" ds:itemID="{47191D3E-1938-4EE3-8F45-11A126C279B4}">
  <ds:schemaRefs/>
</ds:datastoreItem>
</file>

<file path=customXml/itemProps37.xml><?xml version="1.0" encoding="utf-8"?>
<ds:datastoreItem xmlns:ds="http://schemas.openxmlformats.org/officeDocument/2006/customXml" ds:itemID="{FDB31A8E-7259-42D5-A99C-B0EA109D696C}">
  <ds:schemaRefs/>
</ds:datastoreItem>
</file>

<file path=customXml/itemProps38.xml><?xml version="1.0" encoding="utf-8"?>
<ds:datastoreItem xmlns:ds="http://schemas.openxmlformats.org/officeDocument/2006/customXml" ds:itemID="{5A2E688B-6700-4237-8032-EA6245C61602}">
  <ds:schemaRefs/>
</ds:datastoreItem>
</file>

<file path=customXml/itemProps39.xml><?xml version="1.0" encoding="utf-8"?>
<ds:datastoreItem xmlns:ds="http://schemas.openxmlformats.org/officeDocument/2006/customXml" ds:itemID="{0CA48374-E3B1-4CF6-8C88-B11623582354}">
  <ds:schemaRefs/>
</ds:datastoreItem>
</file>

<file path=customXml/itemProps40.xml><?xml version="1.0" encoding="utf-8"?>
<ds:datastoreItem xmlns:ds="http://schemas.openxmlformats.org/officeDocument/2006/customXml" ds:itemID="{BBD87549-D19D-4CB4-A9F3-14DF391B2057}">
  <ds:schemaRefs/>
</ds:datastoreItem>
</file>

<file path=customXml/itemProps41.xml><?xml version="1.0" encoding="utf-8"?>
<ds:datastoreItem xmlns:ds="http://schemas.openxmlformats.org/officeDocument/2006/customXml" ds:itemID="{3A544C74-F4BA-4B19-8484-29EBF00A5C81}">
  <ds:schemaRefs/>
</ds:datastoreItem>
</file>

<file path=customXml/itemProps42.xml><?xml version="1.0" encoding="utf-8"?>
<ds:datastoreItem xmlns:ds="http://schemas.openxmlformats.org/officeDocument/2006/customXml" ds:itemID="{A2BFFF7F-0D94-40A7-8895-D8A4B129FA34}">
  <ds:schemaRefs/>
</ds:datastoreItem>
</file>

<file path=customXml/itemProps43.xml><?xml version="1.0" encoding="utf-8"?>
<ds:datastoreItem xmlns:ds="http://schemas.openxmlformats.org/officeDocument/2006/customXml" ds:itemID="{950E8326-4F22-4260-885D-A21D3447CE46}">
  <ds:schemaRefs/>
</ds:datastoreItem>
</file>

<file path=customXml/itemProps44.xml><?xml version="1.0" encoding="utf-8"?>
<ds:datastoreItem xmlns:ds="http://schemas.openxmlformats.org/officeDocument/2006/customXml" ds:itemID="{12150FFD-2A77-45DC-941E-D8BDF9FB0111}">
  <ds:schemaRefs/>
</ds:datastoreItem>
</file>

<file path=customXml/itemProps45.xml><?xml version="1.0" encoding="utf-8"?>
<ds:datastoreItem xmlns:ds="http://schemas.openxmlformats.org/officeDocument/2006/customXml" ds:itemID="{0E681DBB-6EE4-4991-A726-4E15663313C9}">
  <ds:schemaRefs/>
</ds:datastoreItem>
</file>

<file path=customXml/itemProps46.xml><?xml version="1.0" encoding="utf-8"?>
<ds:datastoreItem xmlns:ds="http://schemas.openxmlformats.org/officeDocument/2006/customXml" ds:itemID="{2992754D-A3EC-4A32-B4B4-7E6689F8AA93}">
  <ds:schemaRefs>
    <ds:schemaRef ds:uri="http://schemas.microsoft.com/DataMashup"/>
  </ds:schemaRefs>
</ds:datastoreItem>
</file>

<file path=customXml/itemProps47.xml><?xml version="1.0" encoding="utf-8"?>
<ds:datastoreItem xmlns:ds="http://schemas.openxmlformats.org/officeDocument/2006/customXml" ds:itemID="{932B9D6B-B6D7-45A7-82B1-7A9A8AF2BEDC}">
  <ds:schemaRefs/>
</ds:datastoreItem>
</file>

<file path=customXml/itemProps48.xml><?xml version="1.0" encoding="utf-8"?>
<ds:datastoreItem xmlns:ds="http://schemas.openxmlformats.org/officeDocument/2006/customXml" ds:itemID="{2D19B7F8-DA46-4C3F-8D81-25B59407B5C6}">
  <ds:schemaRefs/>
</ds:datastoreItem>
</file>

<file path=customXml/itemProps49.xml><?xml version="1.0" encoding="utf-8"?>
<ds:datastoreItem xmlns:ds="http://schemas.openxmlformats.org/officeDocument/2006/customXml" ds:itemID="{3CAEFE40-805A-4367-B7C1-694DF86F0BAF}">
  <ds:schemaRefs/>
</ds:datastoreItem>
</file>

<file path=customXml/itemProps50.xml><?xml version="1.0" encoding="utf-8"?>
<ds:datastoreItem xmlns:ds="http://schemas.openxmlformats.org/officeDocument/2006/customXml" ds:itemID="{C56AA862-4875-4F07-91EC-1814A99CDB7A}">
  <ds:schemaRefs/>
</ds:datastoreItem>
</file>

<file path=customXml/itemProps51.xml><?xml version="1.0" encoding="utf-8"?>
<ds:datastoreItem xmlns:ds="http://schemas.openxmlformats.org/officeDocument/2006/customXml" ds:itemID="{73359C87-1CBB-4619-AFA9-834736153195}">
  <ds:schemaRefs/>
</ds:datastoreItem>
</file>

<file path=customXml/itemProps52.xml><?xml version="1.0" encoding="utf-8"?>
<ds:datastoreItem xmlns:ds="http://schemas.openxmlformats.org/officeDocument/2006/customXml" ds:itemID="{8A982273-451B-4C3D-AEAE-282EE21FD468}">
  <ds:schemaRefs/>
</ds:datastoreItem>
</file>

<file path=customXml/itemProps53.xml><?xml version="1.0" encoding="utf-8"?>
<ds:datastoreItem xmlns:ds="http://schemas.openxmlformats.org/officeDocument/2006/customXml" ds:itemID="{AD008CC9-5DF3-4D40-9446-C6C13757962A}">
  <ds:schemaRefs/>
</ds:datastoreItem>
</file>

<file path=customXml/itemProps54.xml><?xml version="1.0" encoding="utf-8"?>
<ds:datastoreItem xmlns:ds="http://schemas.openxmlformats.org/officeDocument/2006/customXml" ds:itemID="{94EE12D9-1636-4859-BB8B-7471BB63587F}">
  <ds:schemaRefs/>
</ds:datastoreItem>
</file>

<file path=customXml/itemProps55.xml><?xml version="1.0" encoding="utf-8"?>
<ds:datastoreItem xmlns:ds="http://schemas.openxmlformats.org/officeDocument/2006/customXml" ds:itemID="{F9BC5D82-93A5-4329-9A9B-31E889F61F5C}">
  <ds:schemaRefs/>
</ds:datastoreItem>
</file>

<file path=customXml/itemProps56.xml><?xml version="1.0" encoding="utf-8"?>
<ds:datastoreItem xmlns:ds="http://schemas.openxmlformats.org/officeDocument/2006/customXml" ds:itemID="{291F1661-2E91-4B8D-8C90-6644BD5C819F}">
  <ds:schemaRefs/>
</ds:datastoreItem>
</file>

<file path=customXml/itemProps57.xml><?xml version="1.0" encoding="utf-8"?>
<ds:datastoreItem xmlns:ds="http://schemas.openxmlformats.org/officeDocument/2006/customXml" ds:itemID="{CBDFE8C2-5A3A-43E0-8516-D75CAAB21433}">
  <ds:schemaRefs/>
</ds:datastoreItem>
</file>

<file path=customXml/itemProps58.xml><?xml version="1.0" encoding="utf-8"?>
<ds:datastoreItem xmlns:ds="http://schemas.openxmlformats.org/officeDocument/2006/customXml" ds:itemID="{515CAEE2-96C2-4373-AE7F-4B013A023BD6}">
  <ds:schemaRefs/>
</ds:datastoreItem>
</file>

<file path=customXml/itemProps59.xml><?xml version="1.0" encoding="utf-8"?>
<ds:datastoreItem xmlns:ds="http://schemas.openxmlformats.org/officeDocument/2006/customXml" ds:itemID="{E4C9E2CE-4289-4CC3-9A7C-4E2E374E6246}">
  <ds:schemaRefs/>
</ds:datastoreItem>
</file>

<file path=customXml/itemProps60.xml><?xml version="1.0" encoding="utf-8"?>
<ds:datastoreItem xmlns:ds="http://schemas.openxmlformats.org/officeDocument/2006/customXml" ds:itemID="{A9B46853-7EDB-4192-A677-3D199276D61B}">
  <ds:schemaRefs/>
</ds:datastoreItem>
</file>

<file path=customXml/itemProps61.xml><?xml version="1.0" encoding="utf-8"?>
<ds:datastoreItem xmlns:ds="http://schemas.openxmlformats.org/officeDocument/2006/customXml" ds:itemID="{71C72D88-89B1-42B8-976F-37D7DA60A388}">
  <ds:schemaRefs/>
</ds:datastoreItem>
</file>

<file path=customXml/itemProps62.xml><?xml version="1.0" encoding="utf-8"?>
<ds:datastoreItem xmlns:ds="http://schemas.openxmlformats.org/officeDocument/2006/customXml" ds:itemID="{0E459E7B-285E-45F3-B821-E0496105A0EC}">
  <ds:schemaRefs/>
</ds:datastoreItem>
</file>

<file path=customXml/itemProps63.xml><?xml version="1.0" encoding="utf-8"?>
<ds:datastoreItem xmlns:ds="http://schemas.openxmlformats.org/officeDocument/2006/customXml" ds:itemID="{2AD6829F-8876-4099-9BDA-5013D09FB515}">
  <ds:schemaRefs/>
</ds:datastoreItem>
</file>

<file path=customXml/itemProps64.xml><?xml version="1.0" encoding="utf-8"?>
<ds:datastoreItem xmlns:ds="http://schemas.openxmlformats.org/officeDocument/2006/customXml" ds:itemID="{5CE4C3F0-DE7B-4A8F-AC67-F2C47EAF0512}">
  <ds:schemaRefs/>
</ds:datastoreItem>
</file>

<file path=customXml/itemProps65.xml><?xml version="1.0" encoding="utf-8"?>
<ds:datastoreItem xmlns:ds="http://schemas.openxmlformats.org/officeDocument/2006/customXml" ds:itemID="{EE782C67-34DC-4D2B-9622-301E03C011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Dashboard - Executive Overview</vt:lpstr>
      <vt:lpstr>Price Performance</vt:lpstr>
      <vt:lpstr>Trend &amp; Risk Analysis</vt:lpstr>
      <vt:lpstr>Management Insights</vt:lpstr>
      <vt:lpstr>Streak Calculations-3rd Page</vt:lpstr>
      <vt:lpstr>Measures-3rd Page</vt:lpstr>
      <vt:lpstr>Risk level table - 3rd page</vt:lpstr>
      <vt:lpstr>change % vs range %-2nd p</vt:lpstr>
      <vt:lpstr>OHLC Trend-Price Performance</vt:lpstr>
      <vt:lpstr>Commodities Market Analysis Rep</vt:lpstr>
      <vt:lpstr>Growth Trend</vt:lpstr>
      <vt:lpstr>Measures</vt:lpstr>
      <vt:lpstr>Price Trend</vt:lpstr>
      <vt:lpstr>Growth &amp; Decline %</vt:lpstr>
      <vt:lpstr>All_Commodities</vt:lpstr>
      <vt:lpstr>Copper_Prices</vt:lpstr>
      <vt:lpstr>Wheat_Prices</vt:lpstr>
      <vt:lpstr>Corn_Prices</vt:lpstr>
      <vt:lpstr>Sugar_Prices</vt:lpstr>
      <vt:lpstr>Soybean_Oil_Prices</vt:lpstr>
      <vt:lpstr>Soybean_Prices</vt:lpstr>
      <vt:lpstr>Oats_Prices</vt:lpstr>
      <vt:lpstr>Cotton_Prices</vt:lpstr>
      <vt:lpstr>Lumber_Prices</vt:lpstr>
      <vt:lpstr>Coffee_Prices</vt:lpstr>
      <vt:lpstr>DimYear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Ali</dc:creator>
  <cp:lastModifiedBy>Asad Ali</cp:lastModifiedBy>
  <dcterms:created xsi:type="dcterms:W3CDTF">2026-08-11T12:00:29Z</dcterms:created>
  <dcterms:modified xsi:type="dcterms:W3CDTF">2026-10-27T07:23:27Z</dcterms:modified>
</cp:coreProperties>
</file>